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Module Progress" sheetId="2" state="visible" r:id="rId2"/>
    <sheet name="Status Summary" sheetId="3" state="visible" r:id="rId3"/>
    <sheet name="Dependencies" sheetId="4" state="visible" r:id="rId4"/>
    <sheet name="How to use" sheetId="5" state="visible" r:id="rId5"/>
  </sheets>
  <definedNames>
    <definedName name="_xlnm._FilterDatabase" localSheetId="0" hidden="1">'Issues'!$A$1:$Q$245</definedName>
    <definedName name="_xlnm._FilterDatabase" localSheetId="3" hidden="1">'Dependencies'!$A$1:$E$372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5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1"/>
    <xf numFmtId="164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Nostidus4/TreasuryPilot/issues/205" TargetMode="External" Id="rId1" /><Relationship Type="http://schemas.openxmlformats.org/officeDocument/2006/relationships/hyperlink" Target="https://github.com/Nostidus4/TreasuryPilot/issues/206" TargetMode="External" Id="rId2" /><Relationship Type="http://schemas.openxmlformats.org/officeDocument/2006/relationships/hyperlink" Target="https://github.com/Nostidus4/TreasuryPilot/issues/207" TargetMode="External" Id="rId3" /><Relationship Type="http://schemas.openxmlformats.org/officeDocument/2006/relationships/hyperlink" Target="https://github.com/Nostidus4/TreasuryPilot/issues/132" TargetMode="External" Id="rId4" /><Relationship Type="http://schemas.openxmlformats.org/officeDocument/2006/relationships/hyperlink" Target="https://github.com/Nostidus4/TreasuryPilot/issues/134" TargetMode="External" Id="rId5" /><Relationship Type="http://schemas.openxmlformats.org/officeDocument/2006/relationships/hyperlink" Target="https://github.com/Nostidus4/TreasuryPilot/issues/133" TargetMode="External" Id="rId6" /><Relationship Type="http://schemas.openxmlformats.org/officeDocument/2006/relationships/hyperlink" Target="https://github.com/Nostidus4/TreasuryPilot/issues/135" TargetMode="External" Id="rId7" /><Relationship Type="http://schemas.openxmlformats.org/officeDocument/2006/relationships/hyperlink" Target="https://github.com/Nostidus4/TreasuryPilot/issues/170" TargetMode="External" Id="rId8" /><Relationship Type="http://schemas.openxmlformats.org/officeDocument/2006/relationships/hyperlink" Target="https://github.com/Nostidus4/TreasuryPilot/issues/171" TargetMode="External" Id="rId9" /><Relationship Type="http://schemas.openxmlformats.org/officeDocument/2006/relationships/hyperlink" Target="https://github.com/Nostidus4/TreasuryPilot/issues/143" TargetMode="External" Id="rId10" /><Relationship Type="http://schemas.openxmlformats.org/officeDocument/2006/relationships/hyperlink" Target="https://github.com/Nostidus4/TreasuryPilot/issues/144" TargetMode="External" Id="rId11" /><Relationship Type="http://schemas.openxmlformats.org/officeDocument/2006/relationships/hyperlink" Target="https://github.com/Nostidus4/TreasuryPilot/issues/145" TargetMode="External" Id="rId12" /><Relationship Type="http://schemas.openxmlformats.org/officeDocument/2006/relationships/hyperlink" Target="https://github.com/Nostidus4/TreasuryPilot/issues/172" TargetMode="External" Id="rId13" /><Relationship Type="http://schemas.openxmlformats.org/officeDocument/2006/relationships/hyperlink" Target="https://github.com/Nostidus4/TreasuryPilot/issues/173" TargetMode="External" Id="rId14" /><Relationship Type="http://schemas.openxmlformats.org/officeDocument/2006/relationships/hyperlink" Target="https://github.com/Nostidus4/TreasuryPilot/issues/174" TargetMode="External" Id="rId15" /><Relationship Type="http://schemas.openxmlformats.org/officeDocument/2006/relationships/hyperlink" Target="https://github.com/Nostidus4/TreasuryPilot/issues/176" TargetMode="External" Id="rId16" /><Relationship Type="http://schemas.openxmlformats.org/officeDocument/2006/relationships/hyperlink" Target="https://github.com/Nostidus4/TreasuryPilot/issues/178" TargetMode="External" Id="rId17" /><Relationship Type="http://schemas.openxmlformats.org/officeDocument/2006/relationships/hyperlink" Target="https://github.com/Nostidus4/TreasuryPilot/issues/180" TargetMode="External" Id="rId18" /><Relationship Type="http://schemas.openxmlformats.org/officeDocument/2006/relationships/hyperlink" Target="https://github.com/Nostidus4/TreasuryPilot/issues/182" TargetMode="External" Id="rId19" /><Relationship Type="http://schemas.openxmlformats.org/officeDocument/2006/relationships/hyperlink" Target="https://github.com/Nostidus4/TreasuryPilot/issues/183" TargetMode="External" Id="rId20" /><Relationship Type="http://schemas.openxmlformats.org/officeDocument/2006/relationships/hyperlink" Target="https://github.com/Nostidus4/TreasuryPilot/issues/54" TargetMode="External" Id="rId21" /><Relationship Type="http://schemas.openxmlformats.org/officeDocument/2006/relationships/hyperlink" Target="https://github.com/Nostidus4/TreasuryPilot/issues/197" TargetMode="External" Id="rId22" /><Relationship Type="http://schemas.openxmlformats.org/officeDocument/2006/relationships/hyperlink" Target="https://github.com/Nostidus4/TreasuryPilot/issues/66" TargetMode="External" Id="rId23" /><Relationship Type="http://schemas.openxmlformats.org/officeDocument/2006/relationships/hyperlink" Target="https://github.com/Nostidus4/TreasuryPilot/issues/198" TargetMode="External" Id="rId24" /><Relationship Type="http://schemas.openxmlformats.org/officeDocument/2006/relationships/hyperlink" Target="https://github.com/Nostidus4/TreasuryPilot/issues/199" TargetMode="External" Id="rId25" /><Relationship Type="http://schemas.openxmlformats.org/officeDocument/2006/relationships/hyperlink" Target="https://github.com/Nostidus4/TreasuryPilot/issues/35" TargetMode="External" Id="rId26" /><Relationship Type="http://schemas.openxmlformats.org/officeDocument/2006/relationships/hyperlink" Target="https://github.com/Nostidus4/TreasuryPilot/issues/140" TargetMode="External" Id="rId27" /><Relationship Type="http://schemas.openxmlformats.org/officeDocument/2006/relationships/hyperlink" Target="https://github.com/Nostidus4/TreasuryPilot/issues/47" TargetMode="External" Id="rId28" /><Relationship Type="http://schemas.openxmlformats.org/officeDocument/2006/relationships/hyperlink" Target="https://github.com/Nostidus4/TreasuryPilot/issues/141" TargetMode="External" Id="rId29" /><Relationship Type="http://schemas.openxmlformats.org/officeDocument/2006/relationships/hyperlink" Target="https://github.com/Nostidus4/TreasuryPilot/issues/117" TargetMode="External" Id="rId30" /><Relationship Type="http://schemas.openxmlformats.org/officeDocument/2006/relationships/hyperlink" Target="https://github.com/Nostidus4/TreasuryPilot/issues/253" TargetMode="External" Id="rId31" /><Relationship Type="http://schemas.openxmlformats.org/officeDocument/2006/relationships/hyperlink" Target="https://github.com/Nostidus4/TreasuryPilot/issues/50" TargetMode="External" Id="rId32" /><Relationship Type="http://schemas.openxmlformats.org/officeDocument/2006/relationships/hyperlink" Target="https://github.com/Nostidus4/TreasuryPilot/issues/191" TargetMode="External" Id="rId33" /><Relationship Type="http://schemas.openxmlformats.org/officeDocument/2006/relationships/hyperlink" Target="https://github.com/Nostidus4/TreasuryPilot/issues/192" TargetMode="External" Id="rId34" /><Relationship Type="http://schemas.openxmlformats.org/officeDocument/2006/relationships/hyperlink" Target="https://github.com/Nostidus4/TreasuryPilot/issues/193" TargetMode="External" Id="rId35" /><Relationship Type="http://schemas.openxmlformats.org/officeDocument/2006/relationships/hyperlink" Target="https://github.com/Nostidus4/TreasuryPilot/issues/194" TargetMode="External" Id="rId36" /><Relationship Type="http://schemas.openxmlformats.org/officeDocument/2006/relationships/hyperlink" Target="https://github.com/Nostidus4/TreasuryPilot/issues/195" TargetMode="External" Id="rId37" /><Relationship Type="http://schemas.openxmlformats.org/officeDocument/2006/relationships/hyperlink" Target="https://github.com/Nostidus4/TreasuryPilot/issues/196" TargetMode="External" Id="rId38" /><Relationship Type="http://schemas.openxmlformats.org/officeDocument/2006/relationships/hyperlink" Target="https://github.com/Nostidus4/TreasuryPilot/issues/21" TargetMode="External" Id="rId39" /><Relationship Type="http://schemas.openxmlformats.org/officeDocument/2006/relationships/hyperlink" Target="https://github.com/Nostidus4/TreasuryPilot/issues/22" TargetMode="External" Id="rId40" /><Relationship Type="http://schemas.openxmlformats.org/officeDocument/2006/relationships/hyperlink" Target="https://github.com/Nostidus4/TreasuryPilot/issues/23" TargetMode="External" Id="rId41" /><Relationship Type="http://schemas.openxmlformats.org/officeDocument/2006/relationships/hyperlink" Target="https://github.com/Nostidus4/TreasuryPilot/issues/25" TargetMode="External" Id="rId42" /><Relationship Type="http://schemas.openxmlformats.org/officeDocument/2006/relationships/hyperlink" Target="https://github.com/Nostidus4/TreasuryPilot/issues/27" TargetMode="External" Id="rId43" /><Relationship Type="http://schemas.openxmlformats.org/officeDocument/2006/relationships/hyperlink" Target="https://github.com/Nostidus4/TreasuryPilot/issues/53" TargetMode="External" Id="rId44" /><Relationship Type="http://schemas.openxmlformats.org/officeDocument/2006/relationships/hyperlink" Target="https://github.com/Nostidus4/TreasuryPilot/issues/67" TargetMode="External" Id="rId45" /><Relationship Type="http://schemas.openxmlformats.org/officeDocument/2006/relationships/hyperlink" Target="https://github.com/Nostidus4/TreasuryPilot/issues/68" TargetMode="External" Id="rId46" /><Relationship Type="http://schemas.openxmlformats.org/officeDocument/2006/relationships/hyperlink" Target="https://github.com/Nostidus4/TreasuryPilot/issues/69" TargetMode="External" Id="rId47" /><Relationship Type="http://schemas.openxmlformats.org/officeDocument/2006/relationships/hyperlink" Target="https://github.com/Nostidus4/TreasuryPilot/issues/71" TargetMode="External" Id="rId48" /><Relationship Type="http://schemas.openxmlformats.org/officeDocument/2006/relationships/hyperlink" Target="https://github.com/Nostidus4/TreasuryPilot/issues/72" TargetMode="External" Id="rId49" /><Relationship Type="http://schemas.openxmlformats.org/officeDocument/2006/relationships/hyperlink" Target="https://github.com/Nostidus4/TreasuryPilot/issues/264" TargetMode="External" Id="rId50" /><Relationship Type="http://schemas.openxmlformats.org/officeDocument/2006/relationships/hyperlink" Target="https://github.com/Nostidus4/TreasuryPilot/issues/70" TargetMode="External" Id="rId51" /><Relationship Type="http://schemas.openxmlformats.org/officeDocument/2006/relationships/hyperlink" Target="https://github.com/Nostidus4/TreasuryPilot/issues/230" TargetMode="External" Id="rId52" /><Relationship Type="http://schemas.openxmlformats.org/officeDocument/2006/relationships/hyperlink" Target="https://github.com/Nostidus4/TreasuryPilot/issues/231" TargetMode="External" Id="rId53" /><Relationship Type="http://schemas.openxmlformats.org/officeDocument/2006/relationships/hyperlink" Target="https://github.com/Nostidus4/TreasuryPilot/issues/175" TargetMode="External" Id="rId54" /><Relationship Type="http://schemas.openxmlformats.org/officeDocument/2006/relationships/hyperlink" Target="https://github.com/Nostidus4/TreasuryPilot/issues/177" TargetMode="External" Id="rId55" /><Relationship Type="http://schemas.openxmlformats.org/officeDocument/2006/relationships/hyperlink" Target="https://github.com/Nostidus4/TreasuryPilot/issues/179" TargetMode="External" Id="rId56" /><Relationship Type="http://schemas.openxmlformats.org/officeDocument/2006/relationships/hyperlink" Target="https://github.com/Nostidus4/TreasuryPilot/issues/181" TargetMode="External" Id="rId57" /><Relationship Type="http://schemas.openxmlformats.org/officeDocument/2006/relationships/hyperlink" Target="https://github.com/Nostidus4/TreasuryPilot/issues/232" TargetMode="External" Id="rId58" /><Relationship Type="http://schemas.openxmlformats.org/officeDocument/2006/relationships/hyperlink" Target="https://github.com/Nostidus4/TreasuryPilot/issues/233" TargetMode="External" Id="rId59" /><Relationship Type="http://schemas.openxmlformats.org/officeDocument/2006/relationships/hyperlink" Target="https://github.com/Nostidus4/TreasuryPilot/issues/234" TargetMode="External" Id="rId60" /><Relationship Type="http://schemas.openxmlformats.org/officeDocument/2006/relationships/hyperlink" Target="https://github.com/Nostidus4/TreasuryPilot/issues/235" TargetMode="External" Id="rId61" /><Relationship Type="http://schemas.openxmlformats.org/officeDocument/2006/relationships/hyperlink" Target="https://github.com/Nostidus4/TreasuryPilot/issues/236" TargetMode="External" Id="rId62" /><Relationship Type="http://schemas.openxmlformats.org/officeDocument/2006/relationships/hyperlink" Target="https://github.com/Nostidus4/TreasuryPilot/issues/237" TargetMode="External" Id="rId63" /><Relationship Type="http://schemas.openxmlformats.org/officeDocument/2006/relationships/hyperlink" Target="https://github.com/Nostidus4/TreasuryPilot/issues/238" TargetMode="External" Id="rId64" /><Relationship Type="http://schemas.openxmlformats.org/officeDocument/2006/relationships/hyperlink" Target="https://github.com/Nostidus4/TreasuryPilot/issues/239" TargetMode="External" Id="rId65" /><Relationship Type="http://schemas.openxmlformats.org/officeDocument/2006/relationships/hyperlink" Target="https://github.com/Nostidus4/TreasuryPilot/issues/240" TargetMode="External" Id="rId66" /><Relationship Type="http://schemas.openxmlformats.org/officeDocument/2006/relationships/hyperlink" Target="https://github.com/Nostidus4/TreasuryPilot/issues/241" TargetMode="External" Id="rId67" /><Relationship Type="http://schemas.openxmlformats.org/officeDocument/2006/relationships/hyperlink" Target="https://github.com/Nostidus4/TreasuryPilot/issues/42" TargetMode="External" Id="rId68" /><Relationship Type="http://schemas.openxmlformats.org/officeDocument/2006/relationships/hyperlink" Target="https://github.com/Nostidus4/TreasuryPilot/issues/92" TargetMode="External" Id="rId69" /><Relationship Type="http://schemas.openxmlformats.org/officeDocument/2006/relationships/hyperlink" Target="https://github.com/Nostidus4/TreasuryPilot/issues/93" TargetMode="External" Id="rId70" /><Relationship Type="http://schemas.openxmlformats.org/officeDocument/2006/relationships/hyperlink" Target="https://github.com/Nostidus4/TreasuryPilot/issues/94" TargetMode="External" Id="rId71" /><Relationship Type="http://schemas.openxmlformats.org/officeDocument/2006/relationships/hyperlink" Target="https://github.com/Nostidus4/TreasuryPilot/issues/95" TargetMode="External" Id="rId72" /><Relationship Type="http://schemas.openxmlformats.org/officeDocument/2006/relationships/hyperlink" Target="https://github.com/Nostidus4/TreasuryPilot/issues/96" TargetMode="External" Id="rId73" /><Relationship Type="http://schemas.openxmlformats.org/officeDocument/2006/relationships/hyperlink" Target="https://github.com/Nostidus4/TreasuryPilot/issues/97" TargetMode="External" Id="rId74" /><Relationship Type="http://schemas.openxmlformats.org/officeDocument/2006/relationships/hyperlink" Target="https://github.com/Nostidus4/TreasuryPilot/issues/98" TargetMode="External" Id="rId75" /><Relationship Type="http://schemas.openxmlformats.org/officeDocument/2006/relationships/hyperlink" Target="https://github.com/Nostidus4/TreasuryPilot/issues/99" TargetMode="External" Id="rId76" /><Relationship Type="http://schemas.openxmlformats.org/officeDocument/2006/relationships/hyperlink" Target="https://github.com/Nostidus4/TreasuryPilot/issues/57" TargetMode="External" Id="rId77" /><Relationship Type="http://schemas.openxmlformats.org/officeDocument/2006/relationships/hyperlink" Target="https://github.com/Nostidus4/TreasuryPilot/issues/100" TargetMode="External" Id="rId78" /><Relationship Type="http://schemas.openxmlformats.org/officeDocument/2006/relationships/hyperlink" Target="https://github.com/Nostidus4/TreasuryPilot/issues/243" TargetMode="External" Id="rId79" /><Relationship Type="http://schemas.openxmlformats.org/officeDocument/2006/relationships/hyperlink" Target="https://github.com/Nostidus4/TreasuryPilot/issues/259" TargetMode="External" Id="rId80" /><Relationship Type="http://schemas.openxmlformats.org/officeDocument/2006/relationships/hyperlink" Target="https://github.com/Nostidus4/TreasuryPilot/issues/260" TargetMode="External" Id="rId81" /><Relationship Type="http://schemas.openxmlformats.org/officeDocument/2006/relationships/hyperlink" Target="https://github.com/Nostidus4/TreasuryPilot/issues/101" TargetMode="External" Id="rId82" /><Relationship Type="http://schemas.openxmlformats.org/officeDocument/2006/relationships/hyperlink" Target="https://github.com/Nostidus4/TreasuryPilot/issues/102" TargetMode="External" Id="rId83" /><Relationship Type="http://schemas.openxmlformats.org/officeDocument/2006/relationships/hyperlink" Target="https://github.com/Nostidus4/TreasuryPilot/issues/103" TargetMode="External" Id="rId84" /><Relationship Type="http://schemas.openxmlformats.org/officeDocument/2006/relationships/hyperlink" Target="https://github.com/Nostidus4/TreasuryPilot/issues/46" TargetMode="External" Id="rId85" /><Relationship Type="http://schemas.openxmlformats.org/officeDocument/2006/relationships/hyperlink" Target="https://github.com/Nostidus4/TreasuryPilot/issues/131" TargetMode="External" Id="rId86" /><Relationship Type="http://schemas.openxmlformats.org/officeDocument/2006/relationships/hyperlink" Target="https://github.com/Nostidus4/TreasuryPilot/issues/142" TargetMode="External" Id="rId87" /><Relationship Type="http://schemas.openxmlformats.org/officeDocument/2006/relationships/hyperlink" Target="https://github.com/Nostidus4/TreasuryPilot/issues/146" TargetMode="External" Id="rId88" /><Relationship Type="http://schemas.openxmlformats.org/officeDocument/2006/relationships/hyperlink" Target="https://github.com/Nostidus4/TreasuryPilot/issues/60" TargetMode="External" Id="rId89" /><Relationship Type="http://schemas.openxmlformats.org/officeDocument/2006/relationships/hyperlink" Target="https://github.com/Nostidus4/TreasuryPilot/issues/147" TargetMode="External" Id="rId90" /><Relationship Type="http://schemas.openxmlformats.org/officeDocument/2006/relationships/hyperlink" Target="https://github.com/Nostidus4/TreasuryPilot/issues/61" TargetMode="External" Id="rId91" /><Relationship Type="http://schemas.openxmlformats.org/officeDocument/2006/relationships/hyperlink" Target="https://github.com/Nostidus4/TreasuryPilot/issues/65" TargetMode="External" Id="rId92" /><Relationship Type="http://schemas.openxmlformats.org/officeDocument/2006/relationships/hyperlink" Target="https://github.com/Nostidus4/TreasuryPilot/issues/148" TargetMode="External" Id="rId93" /><Relationship Type="http://schemas.openxmlformats.org/officeDocument/2006/relationships/hyperlink" Target="https://github.com/Nostidus4/TreasuryPilot/issues/149" TargetMode="External" Id="rId94" /><Relationship Type="http://schemas.openxmlformats.org/officeDocument/2006/relationships/hyperlink" Target="https://github.com/Nostidus4/TreasuryPilot/issues/150" TargetMode="External" Id="rId95" /><Relationship Type="http://schemas.openxmlformats.org/officeDocument/2006/relationships/hyperlink" Target="https://github.com/Nostidus4/TreasuryPilot/issues/249" TargetMode="External" Id="rId96" /><Relationship Type="http://schemas.openxmlformats.org/officeDocument/2006/relationships/hyperlink" Target="https://github.com/Nostidus4/TreasuryPilot/issues/248" TargetMode="External" Id="rId97" /><Relationship Type="http://schemas.openxmlformats.org/officeDocument/2006/relationships/hyperlink" Target="https://github.com/Nostidus4/TreasuryPilot/issues/261" TargetMode="External" Id="rId98" /><Relationship Type="http://schemas.openxmlformats.org/officeDocument/2006/relationships/hyperlink" Target="https://github.com/Nostidus4/TreasuryPilot/issues/151" TargetMode="External" Id="rId99" /><Relationship Type="http://schemas.openxmlformats.org/officeDocument/2006/relationships/hyperlink" Target="https://github.com/Nostidus4/TreasuryPilot/issues/152" TargetMode="External" Id="rId100" /><Relationship Type="http://schemas.openxmlformats.org/officeDocument/2006/relationships/hyperlink" Target="https://github.com/Nostidus4/TreasuryPilot/issues/153" TargetMode="External" Id="rId101" /><Relationship Type="http://schemas.openxmlformats.org/officeDocument/2006/relationships/hyperlink" Target="https://github.com/Nostidus4/TreasuryPilot/issues/154" TargetMode="External" Id="rId102" /><Relationship Type="http://schemas.openxmlformats.org/officeDocument/2006/relationships/hyperlink" Target="https://github.com/Nostidus4/TreasuryPilot/issues/32" TargetMode="External" Id="rId103" /><Relationship Type="http://schemas.openxmlformats.org/officeDocument/2006/relationships/hyperlink" Target="https://github.com/Nostidus4/TreasuryPilot/issues/37" TargetMode="External" Id="rId104" /><Relationship Type="http://schemas.openxmlformats.org/officeDocument/2006/relationships/hyperlink" Target="https://github.com/Nostidus4/TreasuryPilot/issues/105" TargetMode="External" Id="rId105" /><Relationship Type="http://schemas.openxmlformats.org/officeDocument/2006/relationships/hyperlink" Target="https://github.com/Nostidus4/TreasuryPilot/issues/106" TargetMode="External" Id="rId106" /><Relationship Type="http://schemas.openxmlformats.org/officeDocument/2006/relationships/hyperlink" Target="https://github.com/Nostidus4/TreasuryPilot/issues/38" TargetMode="External" Id="rId107" /><Relationship Type="http://schemas.openxmlformats.org/officeDocument/2006/relationships/hyperlink" Target="https://github.com/Nostidus4/TreasuryPilot/issues/39" TargetMode="External" Id="rId108" /><Relationship Type="http://schemas.openxmlformats.org/officeDocument/2006/relationships/hyperlink" Target="https://github.com/Nostidus4/TreasuryPilot/issues/107" TargetMode="External" Id="rId109" /><Relationship Type="http://schemas.openxmlformats.org/officeDocument/2006/relationships/hyperlink" Target="https://github.com/Nostidus4/TreasuryPilot/issues/108" TargetMode="External" Id="rId110" /><Relationship Type="http://schemas.openxmlformats.org/officeDocument/2006/relationships/hyperlink" Target="https://github.com/Nostidus4/TreasuryPilot/issues/109" TargetMode="External" Id="rId111" /><Relationship Type="http://schemas.openxmlformats.org/officeDocument/2006/relationships/hyperlink" Target="https://github.com/Nostidus4/TreasuryPilot/issues/110" TargetMode="External" Id="rId112" /><Relationship Type="http://schemas.openxmlformats.org/officeDocument/2006/relationships/hyperlink" Target="https://github.com/Nostidus4/TreasuryPilot/issues/111" TargetMode="External" Id="rId113" /><Relationship Type="http://schemas.openxmlformats.org/officeDocument/2006/relationships/hyperlink" Target="https://github.com/Nostidus4/TreasuryPilot/issues/45" TargetMode="External" Id="rId114" /><Relationship Type="http://schemas.openxmlformats.org/officeDocument/2006/relationships/hyperlink" Target="https://github.com/Nostidus4/TreasuryPilot/issues/49" TargetMode="External" Id="rId115" /><Relationship Type="http://schemas.openxmlformats.org/officeDocument/2006/relationships/hyperlink" Target="https://github.com/Nostidus4/TreasuryPilot/issues/52" TargetMode="External" Id="rId116" /><Relationship Type="http://schemas.openxmlformats.org/officeDocument/2006/relationships/hyperlink" Target="https://github.com/Nostidus4/TreasuryPilot/issues/128" TargetMode="External" Id="rId117" /><Relationship Type="http://schemas.openxmlformats.org/officeDocument/2006/relationships/hyperlink" Target="https://github.com/Nostidus4/TreasuryPilot/issues/129" TargetMode="External" Id="rId118" /><Relationship Type="http://schemas.openxmlformats.org/officeDocument/2006/relationships/hyperlink" Target="https://github.com/Nostidus4/TreasuryPilot/issues/119" TargetMode="External" Id="rId119" /><Relationship Type="http://schemas.openxmlformats.org/officeDocument/2006/relationships/hyperlink" Target="https://github.com/Nostidus4/TreasuryPilot/issues/120" TargetMode="External" Id="rId120" /><Relationship Type="http://schemas.openxmlformats.org/officeDocument/2006/relationships/hyperlink" Target="https://github.com/Nostidus4/TreasuryPilot/issues/121" TargetMode="External" Id="rId121" /><Relationship Type="http://schemas.openxmlformats.org/officeDocument/2006/relationships/hyperlink" Target="https://github.com/Nostidus4/TreasuryPilot/issues/122" TargetMode="External" Id="rId122" /><Relationship Type="http://schemas.openxmlformats.org/officeDocument/2006/relationships/hyperlink" Target="https://github.com/Nostidus4/TreasuryPilot/issues/123" TargetMode="External" Id="rId123" /><Relationship Type="http://schemas.openxmlformats.org/officeDocument/2006/relationships/hyperlink" Target="https://github.com/Nostidus4/TreasuryPilot/issues/130" TargetMode="External" Id="rId124" /><Relationship Type="http://schemas.openxmlformats.org/officeDocument/2006/relationships/hyperlink" Target="https://github.com/Nostidus4/TreasuryPilot/issues/246" TargetMode="External" Id="rId125" /><Relationship Type="http://schemas.openxmlformats.org/officeDocument/2006/relationships/hyperlink" Target="https://github.com/Nostidus4/TreasuryPilot/issues/136" TargetMode="External" Id="rId126" /><Relationship Type="http://schemas.openxmlformats.org/officeDocument/2006/relationships/hyperlink" Target="https://github.com/Nostidus4/TreasuryPilot/issues/137" TargetMode="External" Id="rId127" /><Relationship Type="http://schemas.openxmlformats.org/officeDocument/2006/relationships/hyperlink" Target="https://github.com/Nostidus4/TreasuryPilot/issues/138" TargetMode="External" Id="rId128" /><Relationship Type="http://schemas.openxmlformats.org/officeDocument/2006/relationships/hyperlink" Target="https://github.com/Nostidus4/TreasuryPilot/issues/139" TargetMode="External" Id="rId129" /><Relationship Type="http://schemas.openxmlformats.org/officeDocument/2006/relationships/hyperlink" Target="https://github.com/Nostidus4/TreasuryPilot/issues/41" TargetMode="External" Id="rId130" /><Relationship Type="http://schemas.openxmlformats.org/officeDocument/2006/relationships/hyperlink" Target="https://github.com/Nostidus4/TreasuryPilot/issues/43" TargetMode="External" Id="rId131" /><Relationship Type="http://schemas.openxmlformats.org/officeDocument/2006/relationships/hyperlink" Target="https://github.com/Nostidus4/TreasuryPilot/issues/48" TargetMode="External" Id="rId132" /><Relationship Type="http://schemas.openxmlformats.org/officeDocument/2006/relationships/hyperlink" Target="https://github.com/Nostidus4/TreasuryPilot/issues/51" TargetMode="External" Id="rId133" /><Relationship Type="http://schemas.openxmlformats.org/officeDocument/2006/relationships/hyperlink" Target="https://github.com/Nostidus4/TreasuryPilot/issues/118" TargetMode="External" Id="rId134" /><Relationship Type="http://schemas.openxmlformats.org/officeDocument/2006/relationships/hyperlink" Target="https://github.com/Nostidus4/TreasuryPilot/issues/124" TargetMode="External" Id="rId135" /><Relationship Type="http://schemas.openxmlformats.org/officeDocument/2006/relationships/hyperlink" Target="https://github.com/Nostidus4/TreasuryPilot/issues/125" TargetMode="External" Id="rId136" /><Relationship Type="http://schemas.openxmlformats.org/officeDocument/2006/relationships/hyperlink" Target="https://github.com/Nostidus4/TreasuryPilot/issues/126" TargetMode="External" Id="rId137" /><Relationship Type="http://schemas.openxmlformats.org/officeDocument/2006/relationships/hyperlink" Target="https://github.com/Nostidus4/TreasuryPilot/issues/247" TargetMode="External" Id="rId138" /><Relationship Type="http://schemas.openxmlformats.org/officeDocument/2006/relationships/hyperlink" Target="https://github.com/Nostidus4/TreasuryPilot/issues/251" TargetMode="External" Id="rId139" /><Relationship Type="http://schemas.openxmlformats.org/officeDocument/2006/relationships/hyperlink" Target="https://github.com/Nostidus4/TreasuryPilot/issues/265" TargetMode="External" Id="rId140" /><Relationship Type="http://schemas.openxmlformats.org/officeDocument/2006/relationships/hyperlink" Target="https://github.com/Nostidus4/TreasuryPilot/issues/127" TargetMode="External" Id="rId141" /><Relationship Type="http://schemas.openxmlformats.org/officeDocument/2006/relationships/hyperlink" Target="https://github.com/Nostidus4/TreasuryPilot/issues/184" TargetMode="External" Id="rId142" /><Relationship Type="http://schemas.openxmlformats.org/officeDocument/2006/relationships/hyperlink" Target="https://github.com/Nostidus4/TreasuryPilot/issues/185" TargetMode="External" Id="rId143" /><Relationship Type="http://schemas.openxmlformats.org/officeDocument/2006/relationships/hyperlink" Target="https://github.com/Nostidus4/TreasuryPilot/issues/186" TargetMode="External" Id="rId144" /><Relationship Type="http://schemas.openxmlformats.org/officeDocument/2006/relationships/hyperlink" Target="https://github.com/Nostidus4/TreasuryPilot/issues/187" TargetMode="External" Id="rId145" /><Relationship Type="http://schemas.openxmlformats.org/officeDocument/2006/relationships/hyperlink" Target="https://github.com/Nostidus4/TreasuryPilot/issues/188" TargetMode="External" Id="rId146" /><Relationship Type="http://schemas.openxmlformats.org/officeDocument/2006/relationships/hyperlink" Target="https://github.com/Nostidus4/TreasuryPilot/issues/189" TargetMode="External" Id="rId147" /><Relationship Type="http://schemas.openxmlformats.org/officeDocument/2006/relationships/hyperlink" Target="https://github.com/Nostidus4/TreasuryPilot/issues/190" TargetMode="External" Id="rId148" /><Relationship Type="http://schemas.openxmlformats.org/officeDocument/2006/relationships/hyperlink" Target="https://github.com/Nostidus4/TreasuryPilot/issues/200" TargetMode="External" Id="rId149" /><Relationship Type="http://schemas.openxmlformats.org/officeDocument/2006/relationships/hyperlink" Target="https://github.com/Nostidus4/TreasuryPilot/issues/201" TargetMode="External" Id="rId150" /><Relationship Type="http://schemas.openxmlformats.org/officeDocument/2006/relationships/hyperlink" Target="https://github.com/Nostidus4/TreasuryPilot/issues/202" TargetMode="External" Id="rId151" /><Relationship Type="http://schemas.openxmlformats.org/officeDocument/2006/relationships/hyperlink" Target="https://github.com/Nostidus4/TreasuryPilot/issues/203" TargetMode="External" Id="rId152" /><Relationship Type="http://schemas.openxmlformats.org/officeDocument/2006/relationships/hyperlink" Target="https://github.com/Nostidus4/TreasuryPilot/issues/204" TargetMode="External" Id="rId153" /><Relationship Type="http://schemas.openxmlformats.org/officeDocument/2006/relationships/hyperlink" Target="https://github.com/Nostidus4/TreasuryPilot/issues/62" TargetMode="External" Id="rId154" /><Relationship Type="http://schemas.openxmlformats.org/officeDocument/2006/relationships/hyperlink" Target="https://github.com/Nostidus4/TreasuryPilot/issues/63" TargetMode="External" Id="rId155" /><Relationship Type="http://schemas.openxmlformats.org/officeDocument/2006/relationships/hyperlink" Target="https://github.com/Nostidus4/TreasuryPilot/issues/64" TargetMode="External" Id="rId156" /><Relationship Type="http://schemas.openxmlformats.org/officeDocument/2006/relationships/hyperlink" Target="https://github.com/Nostidus4/TreasuryPilot/issues/104" TargetMode="External" Id="rId157" /><Relationship Type="http://schemas.openxmlformats.org/officeDocument/2006/relationships/hyperlink" Target="https://github.com/Nostidus4/TreasuryPilot/issues/58" TargetMode="External" Id="rId158" /><Relationship Type="http://schemas.openxmlformats.org/officeDocument/2006/relationships/hyperlink" Target="https://github.com/Nostidus4/TreasuryPilot/issues/59" TargetMode="External" Id="rId159" /><Relationship Type="http://schemas.openxmlformats.org/officeDocument/2006/relationships/hyperlink" Target="https://github.com/Nostidus4/TreasuryPilot/issues/244" TargetMode="External" Id="rId160" /><Relationship Type="http://schemas.openxmlformats.org/officeDocument/2006/relationships/hyperlink" Target="https://github.com/Nostidus4/TreasuryPilot/issues/163" TargetMode="External" Id="rId161" /><Relationship Type="http://schemas.openxmlformats.org/officeDocument/2006/relationships/hyperlink" Target="https://github.com/Nostidus4/TreasuryPilot/issues/164" TargetMode="External" Id="rId162" /><Relationship Type="http://schemas.openxmlformats.org/officeDocument/2006/relationships/hyperlink" Target="https://github.com/Nostidus4/TreasuryPilot/issues/165" TargetMode="External" Id="rId163" /><Relationship Type="http://schemas.openxmlformats.org/officeDocument/2006/relationships/hyperlink" Target="https://github.com/Nostidus4/TreasuryPilot/issues/166" TargetMode="External" Id="rId164" /><Relationship Type="http://schemas.openxmlformats.org/officeDocument/2006/relationships/hyperlink" Target="https://github.com/Nostidus4/TreasuryPilot/issues/167" TargetMode="External" Id="rId165" /><Relationship Type="http://schemas.openxmlformats.org/officeDocument/2006/relationships/hyperlink" Target="https://github.com/Nostidus4/TreasuryPilot/issues/168" TargetMode="External" Id="rId166" /><Relationship Type="http://schemas.openxmlformats.org/officeDocument/2006/relationships/hyperlink" Target="https://github.com/Nostidus4/TreasuryPilot/issues/169" TargetMode="External" Id="rId167" /><Relationship Type="http://schemas.openxmlformats.org/officeDocument/2006/relationships/hyperlink" Target="https://github.com/Nostidus4/TreasuryPilot/issues/155" TargetMode="External" Id="rId168" /><Relationship Type="http://schemas.openxmlformats.org/officeDocument/2006/relationships/hyperlink" Target="https://github.com/Nostidus4/TreasuryPilot/issues/156" TargetMode="External" Id="rId169" /><Relationship Type="http://schemas.openxmlformats.org/officeDocument/2006/relationships/hyperlink" Target="https://github.com/Nostidus4/TreasuryPilot/issues/157" TargetMode="External" Id="rId170" /><Relationship Type="http://schemas.openxmlformats.org/officeDocument/2006/relationships/hyperlink" Target="https://github.com/Nostidus4/TreasuryPilot/issues/158" TargetMode="External" Id="rId171" /><Relationship Type="http://schemas.openxmlformats.org/officeDocument/2006/relationships/hyperlink" Target="https://github.com/Nostidus4/TreasuryPilot/issues/159" TargetMode="External" Id="rId172" /><Relationship Type="http://schemas.openxmlformats.org/officeDocument/2006/relationships/hyperlink" Target="https://github.com/Nostidus4/TreasuryPilot/issues/160" TargetMode="External" Id="rId173" /><Relationship Type="http://schemas.openxmlformats.org/officeDocument/2006/relationships/hyperlink" Target="https://github.com/Nostidus4/TreasuryPilot/issues/161" TargetMode="External" Id="rId174" /><Relationship Type="http://schemas.openxmlformats.org/officeDocument/2006/relationships/hyperlink" Target="https://github.com/Nostidus4/TreasuryPilot/issues/162" TargetMode="External" Id="rId175" /><Relationship Type="http://schemas.openxmlformats.org/officeDocument/2006/relationships/hyperlink" Target="https://github.com/Nostidus4/TreasuryPilot/issues/24" TargetMode="External" Id="rId176" /><Relationship Type="http://schemas.openxmlformats.org/officeDocument/2006/relationships/hyperlink" Target="https://github.com/Nostidus4/TreasuryPilot/issues/28" TargetMode="External" Id="rId177" /><Relationship Type="http://schemas.openxmlformats.org/officeDocument/2006/relationships/hyperlink" Target="https://github.com/Nostidus4/TreasuryPilot/issues/29" TargetMode="External" Id="rId178" /><Relationship Type="http://schemas.openxmlformats.org/officeDocument/2006/relationships/hyperlink" Target="https://github.com/Nostidus4/TreasuryPilot/issues/73" TargetMode="External" Id="rId179" /><Relationship Type="http://schemas.openxmlformats.org/officeDocument/2006/relationships/hyperlink" Target="https://github.com/Nostidus4/TreasuryPilot/issues/55" TargetMode="External" Id="rId180" /><Relationship Type="http://schemas.openxmlformats.org/officeDocument/2006/relationships/hyperlink" Target="https://github.com/Nostidus4/TreasuryPilot/issues/74" TargetMode="External" Id="rId181" /><Relationship Type="http://schemas.openxmlformats.org/officeDocument/2006/relationships/hyperlink" Target="https://github.com/Nostidus4/TreasuryPilot/issues/75" TargetMode="External" Id="rId182" /><Relationship Type="http://schemas.openxmlformats.org/officeDocument/2006/relationships/hyperlink" Target="https://github.com/Nostidus4/TreasuryPilot/issues/76" TargetMode="External" Id="rId183" /><Relationship Type="http://schemas.openxmlformats.org/officeDocument/2006/relationships/hyperlink" Target="https://github.com/Nostidus4/TreasuryPilot/issues/77" TargetMode="External" Id="rId184" /><Relationship Type="http://schemas.openxmlformats.org/officeDocument/2006/relationships/hyperlink" Target="https://github.com/Nostidus4/TreasuryPilot/issues/30" TargetMode="External" Id="rId185" /><Relationship Type="http://schemas.openxmlformats.org/officeDocument/2006/relationships/hyperlink" Target="https://github.com/Nostidus4/TreasuryPilot/issues/78" TargetMode="External" Id="rId186" /><Relationship Type="http://schemas.openxmlformats.org/officeDocument/2006/relationships/hyperlink" Target="https://github.com/Nostidus4/TreasuryPilot/issues/79" TargetMode="External" Id="rId187" /><Relationship Type="http://schemas.openxmlformats.org/officeDocument/2006/relationships/hyperlink" Target="https://github.com/Nostidus4/TreasuryPilot/issues/80" TargetMode="External" Id="rId188" /><Relationship Type="http://schemas.openxmlformats.org/officeDocument/2006/relationships/hyperlink" Target="https://github.com/Nostidus4/TreasuryPilot/issues/81" TargetMode="External" Id="rId189" /><Relationship Type="http://schemas.openxmlformats.org/officeDocument/2006/relationships/hyperlink" Target="https://github.com/Nostidus4/TreasuryPilot/issues/82" TargetMode="External" Id="rId190" /><Relationship Type="http://schemas.openxmlformats.org/officeDocument/2006/relationships/hyperlink" Target="https://github.com/Nostidus4/TreasuryPilot/issues/31" TargetMode="External" Id="rId191" /><Relationship Type="http://schemas.openxmlformats.org/officeDocument/2006/relationships/hyperlink" Target="https://github.com/Nostidus4/TreasuryPilot/issues/56" TargetMode="External" Id="rId192" /><Relationship Type="http://schemas.openxmlformats.org/officeDocument/2006/relationships/hyperlink" Target="https://github.com/Nostidus4/TreasuryPilot/issues/83" TargetMode="External" Id="rId193" /><Relationship Type="http://schemas.openxmlformats.org/officeDocument/2006/relationships/hyperlink" Target="https://github.com/Nostidus4/TreasuryPilot/issues/84" TargetMode="External" Id="rId194" /><Relationship Type="http://schemas.openxmlformats.org/officeDocument/2006/relationships/hyperlink" Target="https://github.com/Nostidus4/TreasuryPilot/issues/85" TargetMode="External" Id="rId195" /><Relationship Type="http://schemas.openxmlformats.org/officeDocument/2006/relationships/hyperlink" Target="https://github.com/Nostidus4/TreasuryPilot/issues/242" TargetMode="External" Id="rId196" /><Relationship Type="http://schemas.openxmlformats.org/officeDocument/2006/relationships/hyperlink" Target="https://github.com/Nostidus4/TreasuryPilot/issues/245" TargetMode="External" Id="rId197" /><Relationship Type="http://schemas.openxmlformats.org/officeDocument/2006/relationships/hyperlink" Target="https://github.com/Nostidus4/TreasuryPilot/issues/255" TargetMode="External" Id="rId198" /><Relationship Type="http://schemas.openxmlformats.org/officeDocument/2006/relationships/hyperlink" Target="https://github.com/Nostidus4/TreasuryPilot/issues/256" TargetMode="External" Id="rId199" /><Relationship Type="http://schemas.openxmlformats.org/officeDocument/2006/relationships/hyperlink" Target="https://github.com/Nostidus4/TreasuryPilot/issues/257" TargetMode="External" Id="rId200" /><Relationship Type="http://schemas.openxmlformats.org/officeDocument/2006/relationships/hyperlink" Target="https://github.com/Nostidus4/TreasuryPilot/issues/258" TargetMode="External" Id="rId201" /><Relationship Type="http://schemas.openxmlformats.org/officeDocument/2006/relationships/hyperlink" Target="https://github.com/Nostidus4/TreasuryPilot/issues/86" TargetMode="External" Id="rId202" /><Relationship Type="http://schemas.openxmlformats.org/officeDocument/2006/relationships/hyperlink" Target="https://github.com/Nostidus4/TreasuryPilot/issues/87" TargetMode="External" Id="rId203" /><Relationship Type="http://schemas.openxmlformats.org/officeDocument/2006/relationships/hyperlink" Target="https://github.com/Nostidus4/TreasuryPilot/issues/88" TargetMode="External" Id="rId204" /><Relationship Type="http://schemas.openxmlformats.org/officeDocument/2006/relationships/hyperlink" Target="https://github.com/Nostidus4/TreasuryPilot/issues/89" TargetMode="External" Id="rId205" /><Relationship Type="http://schemas.openxmlformats.org/officeDocument/2006/relationships/hyperlink" Target="https://github.com/Nostidus4/TreasuryPilot/issues/90" TargetMode="External" Id="rId206" /><Relationship Type="http://schemas.openxmlformats.org/officeDocument/2006/relationships/hyperlink" Target="https://github.com/Nostidus4/TreasuryPilot/issues/91" TargetMode="External" Id="rId207" /><Relationship Type="http://schemas.openxmlformats.org/officeDocument/2006/relationships/hyperlink" Target="https://github.com/Nostidus4/TreasuryPilot/issues/33" TargetMode="External" Id="rId208" /><Relationship Type="http://schemas.openxmlformats.org/officeDocument/2006/relationships/hyperlink" Target="https://github.com/Nostidus4/TreasuryPilot/issues/34" TargetMode="External" Id="rId209" /><Relationship Type="http://schemas.openxmlformats.org/officeDocument/2006/relationships/hyperlink" Target="https://github.com/Nostidus4/TreasuryPilot/issues/36" TargetMode="External" Id="rId210" /><Relationship Type="http://schemas.openxmlformats.org/officeDocument/2006/relationships/hyperlink" Target="https://github.com/Nostidus4/TreasuryPilot/issues/40" TargetMode="External" Id="rId211" /><Relationship Type="http://schemas.openxmlformats.org/officeDocument/2006/relationships/hyperlink" Target="https://github.com/Nostidus4/TreasuryPilot/issues/112" TargetMode="External" Id="rId212" /><Relationship Type="http://schemas.openxmlformats.org/officeDocument/2006/relationships/hyperlink" Target="https://github.com/Nostidus4/TreasuryPilot/issues/44" TargetMode="External" Id="rId213" /><Relationship Type="http://schemas.openxmlformats.org/officeDocument/2006/relationships/hyperlink" Target="https://github.com/Nostidus4/TreasuryPilot/issues/113" TargetMode="External" Id="rId214" /><Relationship Type="http://schemas.openxmlformats.org/officeDocument/2006/relationships/hyperlink" Target="https://github.com/Nostidus4/TreasuryPilot/issues/114" TargetMode="External" Id="rId215" /><Relationship Type="http://schemas.openxmlformats.org/officeDocument/2006/relationships/hyperlink" Target="https://github.com/Nostidus4/TreasuryPilot/issues/115" TargetMode="External" Id="rId216" /><Relationship Type="http://schemas.openxmlformats.org/officeDocument/2006/relationships/hyperlink" Target="https://github.com/Nostidus4/TreasuryPilot/issues/116" TargetMode="External" Id="rId217" /><Relationship Type="http://schemas.openxmlformats.org/officeDocument/2006/relationships/hyperlink" Target="https://github.com/Nostidus4/TreasuryPilot/issues/26" TargetMode="External" Id="rId218" /><Relationship Type="http://schemas.openxmlformats.org/officeDocument/2006/relationships/hyperlink" Target="https://github.com/Nostidus4/TreasuryPilot/issues/208" TargetMode="External" Id="rId219" /><Relationship Type="http://schemas.openxmlformats.org/officeDocument/2006/relationships/hyperlink" Target="https://github.com/Nostidus4/TreasuryPilot/issues/209" TargetMode="External" Id="rId220" /><Relationship Type="http://schemas.openxmlformats.org/officeDocument/2006/relationships/hyperlink" Target="https://github.com/Nostidus4/TreasuryPilot/issues/210" TargetMode="External" Id="rId221" /><Relationship Type="http://schemas.openxmlformats.org/officeDocument/2006/relationships/hyperlink" Target="https://github.com/Nostidus4/TreasuryPilot/issues/211" TargetMode="External" Id="rId222" /><Relationship Type="http://schemas.openxmlformats.org/officeDocument/2006/relationships/hyperlink" Target="https://github.com/Nostidus4/TreasuryPilot/issues/212" TargetMode="External" Id="rId223" /><Relationship Type="http://schemas.openxmlformats.org/officeDocument/2006/relationships/hyperlink" Target="https://github.com/Nostidus4/TreasuryPilot/issues/213" TargetMode="External" Id="rId224" /><Relationship Type="http://schemas.openxmlformats.org/officeDocument/2006/relationships/hyperlink" Target="https://github.com/Nostidus4/TreasuryPilot/issues/214" TargetMode="External" Id="rId225" /><Relationship Type="http://schemas.openxmlformats.org/officeDocument/2006/relationships/hyperlink" Target="https://github.com/Nostidus4/TreasuryPilot/issues/215" TargetMode="External" Id="rId226" /><Relationship Type="http://schemas.openxmlformats.org/officeDocument/2006/relationships/hyperlink" Target="https://github.com/Nostidus4/TreasuryPilot/issues/216" TargetMode="External" Id="rId227" /><Relationship Type="http://schemas.openxmlformats.org/officeDocument/2006/relationships/hyperlink" Target="https://github.com/Nostidus4/TreasuryPilot/issues/217" TargetMode="External" Id="rId228" /><Relationship Type="http://schemas.openxmlformats.org/officeDocument/2006/relationships/hyperlink" Target="https://github.com/Nostidus4/TreasuryPilot/issues/218" TargetMode="External" Id="rId229" /><Relationship Type="http://schemas.openxmlformats.org/officeDocument/2006/relationships/hyperlink" Target="https://github.com/Nostidus4/TreasuryPilot/issues/219" TargetMode="External" Id="rId230" /><Relationship Type="http://schemas.openxmlformats.org/officeDocument/2006/relationships/hyperlink" Target="https://github.com/Nostidus4/TreasuryPilot/issues/220" TargetMode="External" Id="rId231" /><Relationship Type="http://schemas.openxmlformats.org/officeDocument/2006/relationships/hyperlink" Target="https://github.com/Nostidus4/TreasuryPilot/issues/221" TargetMode="External" Id="rId232" /><Relationship Type="http://schemas.openxmlformats.org/officeDocument/2006/relationships/hyperlink" Target="https://github.com/Nostidus4/TreasuryPilot/issues/222" TargetMode="External" Id="rId233" /><Relationship Type="http://schemas.openxmlformats.org/officeDocument/2006/relationships/hyperlink" Target="https://github.com/Nostidus4/TreasuryPilot/issues/223" TargetMode="External" Id="rId234" /><Relationship Type="http://schemas.openxmlformats.org/officeDocument/2006/relationships/hyperlink" Target="https://github.com/Nostidus4/TreasuryPilot/issues/224" TargetMode="External" Id="rId235" /><Relationship Type="http://schemas.openxmlformats.org/officeDocument/2006/relationships/hyperlink" Target="https://github.com/Nostidus4/TreasuryPilot/issues/225" TargetMode="External" Id="rId236" /><Relationship Type="http://schemas.openxmlformats.org/officeDocument/2006/relationships/hyperlink" Target="https://github.com/Nostidus4/TreasuryPilot/issues/226" TargetMode="External" Id="rId237" /><Relationship Type="http://schemas.openxmlformats.org/officeDocument/2006/relationships/hyperlink" Target="https://github.com/Nostidus4/TreasuryPilot/issues/227" TargetMode="External" Id="rId238" /><Relationship Type="http://schemas.openxmlformats.org/officeDocument/2006/relationships/hyperlink" Target="https://github.com/Nostidus4/TreasuryPilot/issues/228" TargetMode="External" Id="rId239" /><Relationship Type="http://schemas.openxmlformats.org/officeDocument/2006/relationships/hyperlink" Target="https://github.com/Nostidus4/TreasuryPilot/issues/229" TargetMode="External" Id="rId240" /><Relationship Type="http://schemas.openxmlformats.org/officeDocument/2006/relationships/hyperlink" Target="https://github.com/Nostidus4/TreasuryPilot/issues/252" TargetMode="External" Id="rId241" /><Relationship Type="http://schemas.openxmlformats.org/officeDocument/2006/relationships/hyperlink" Target="https://github.com/Nostidus4/TreasuryPilot/issues/250" TargetMode="External" Id="rId242" /><Relationship Type="http://schemas.openxmlformats.org/officeDocument/2006/relationships/hyperlink" Target="https://github.com/Nostidus4/TreasuryPilot/issues/262" TargetMode="External" Id="rId243" /><Relationship Type="http://schemas.openxmlformats.org/officeDocument/2006/relationships/hyperlink" Target="https://github.com/Nostidus4/TreasuryPilot/issues/263" TargetMode="External" Id="rId2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70" customWidth="1" min="3" max="3"/>
    <col width="18" customWidth="1" min="4" max="4"/>
    <col width="50" customWidth="1" min="5" max="5"/>
    <col width="10" customWidth="1" min="6" max="6"/>
    <col width="10" customWidth="1" min="7" max="7"/>
    <col width="10" customWidth="1" min="8" max="8"/>
    <col width="11" customWidth="1" min="9" max="9"/>
    <col width="18" customWidth="1" min="10" max="10"/>
    <col width="16" customWidth="1" min="11" max="11"/>
    <col width="22" customWidth="1" min="12" max="12"/>
    <col width="17" customWidth="1" min="13" max="13"/>
    <col width="10" customWidth="1" min="14" max="14"/>
    <col width="54" customWidth="1" min="15" max="15"/>
    <col width="15" customWidth="1" min="16" max="16"/>
    <col width="10" customWidth="1" min="17" max="17"/>
  </cols>
  <sheetData>
    <row r="1">
      <c r="A1" s="1" t="inlineStr">
        <is>
          <t>Ticket ID</t>
        </is>
      </c>
      <c r="B1" s="1" t="inlineStr">
        <is>
          <t>GH #</t>
        </is>
      </c>
      <c r="C1" s="1" t="inlineStr">
        <is>
          <t>Title</t>
        </is>
      </c>
      <c r="D1" s="1" t="inlineStr">
        <is>
          <t>Module</t>
        </is>
      </c>
      <c r="E1" s="1" t="inlineStr">
        <is>
          <t>Epic</t>
        </is>
      </c>
      <c r="F1" s="1" t="inlineStr">
        <is>
          <t>Priority</t>
        </is>
      </c>
      <c r="G1" s="1" t="inlineStr">
        <is>
          <t>Phase</t>
        </is>
      </c>
      <c r="H1" s="1" t="inlineStr">
        <is>
          <t>Size</t>
        </is>
      </c>
      <c r="I1" s="1" t="inlineStr">
        <is>
          <t>Est. days</t>
        </is>
      </c>
      <c r="J1" s="1" t="inlineStr">
        <is>
          <t>Cut</t>
        </is>
      </c>
      <c r="K1" s="1" t="inlineStr">
        <is>
          <t>Area</t>
        </is>
      </c>
      <c r="L1" s="1" t="inlineStr">
        <is>
          <t>Status</t>
        </is>
      </c>
      <c r="M1" s="1" t="inlineStr">
        <is>
          <t>Assignees</t>
        </is>
      </c>
      <c r="N1" s="1" t="inlineStr">
        <is>
          <t>State</t>
        </is>
      </c>
      <c r="O1" s="1" t="inlineStr">
        <is>
          <t>Blocked by</t>
        </is>
      </c>
      <c r="P1" s="1" t="inlineStr">
        <is>
          <t>Open blockers</t>
        </is>
      </c>
      <c r="Q1" s="1" t="inlineStr">
        <is>
          <t>Link</t>
        </is>
      </c>
    </row>
    <row r="2">
      <c r="A2" s="2" t="inlineStr">
        <is>
          <t>ADM-L01</t>
        </is>
      </c>
      <c r="B2" s="2" t="n">
        <v>205</v>
      </c>
      <c r="C2" s="2" t="inlineStr">
        <is>
          <t>[ADMIN] Build the platform admin console</t>
        </is>
      </c>
      <c r="D2" s="2" t="inlineStr">
        <is>
          <t>admin</t>
        </is>
      </c>
      <c r="E2" s="2" t="inlineStr">
        <is>
          <t>[EPIC] M18 · Platform Admin &amp; Billing</t>
        </is>
      </c>
      <c r="F2" s="2" t="inlineStr">
        <is>
          <t>—</t>
        </is>
      </c>
      <c r="G2" s="2" t="inlineStr">
        <is>
          <t>Later</t>
        </is>
      </c>
      <c r="H2" s="2" t="inlineStr">
        <is>
          <t>L</t>
        </is>
      </c>
      <c r="I2" s="2">
        <f>IF(H2="S",0.5,IF(H2="M",1,IF(H2="L",2,0)))</f>
        <v/>
      </c>
      <c r="J2" s="2" t="inlineStr">
        <is>
          <t>Later</t>
        </is>
      </c>
      <c r="K2" s="2" t="inlineStr">
        <is>
          <t>backend</t>
        </is>
      </c>
      <c r="L2" s="2" t="inlineStr">
        <is>
          <t>Accepted</t>
        </is>
      </c>
      <c r="M2" s="2" t="inlineStr"/>
      <c r="N2" s="2" t="inlineStr">
        <is>
          <t>OPEN</t>
        </is>
      </c>
      <c r="O2" s="2" t="inlineStr">
        <is>
          <t>IDN-006</t>
        </is>
      </c>
      <c r="P2" s="2">
        <f>IF(O2="",0,SUMPRODUCT(--ISNUMBER(SEARCH(", "&amp;$A$2:$A$245&amp;",",", "&amp;O2&amp;",")),--($L$2:$L$245&lt;&gt;"Done")))</f>
        <v/>
      </c>
      <c r="Q2" s="3" t="inlineStr">
        <is>
          <t>open</t>
        </is>
      </c>
    </row>
    <row r="3">
      <c r="A3" s="2" t="inlineStr">
        <is>
          <t>ADM-L02</t>
        </is>
      </c>
      <c r="B3" s="2" t="n">
        <v>206</v>
      </c>
      <c r="C3" s="2" t="inlineStr">
        <is>
          <t>[ADMIN] Meter usage for billing</t>
        </is>
      </c>
      <c r="D3" s="2" t="inlineStr">
        <is>
          <t>admin</t>
        </is>
      </c>
      <c r="E3" s="2" t="inlineStr">
        <is>
          <t>[EPIC] M18 · Platform Admin &amp; Billing</t>
        </is>
      </c>
      <c r="F3" s="2" t="inlineStr">
        <is>
          <t>—</t>
        </is>
      </c>
      <c r="G3" s="2" t="inlineStr">
        <is>
          <t>Later</t>
        </is>
      </c>
      <c r="H3" s="2" t="inlineStr">
        <is>
          <t>M</t>
        </is>
      </c>
      <c r="I3" s="2">
        <f>IF(H3="S",0.5,IF(H3="M",1,IF(H3="L",2,0)))</f>
        <v/>
      </c>
      <c r="J3" s="2" t="inlineStr">
        <is>
          <t>Later</t>
        </is>
      </c>
      <c r="K3" s="2" t="inlineStr">
        <is>
          <t>backend</t>
        </is>
      </c>
      <c r="L3" s="2" t="inlineStr">
        <is>
          <t>Accepted</t>
        </is>
      </c>
      <c r="M3" s="2" t="inlineStr"/>
      <c r="N3" s="2" t="inlineStr">
        <is>
          <t>OPEN</t>
        </is>
      </c>
      <c r="O3" s="2" t="inlineStr">
        <is>
          <t>OBS-004</t>
        </is>
      </c>
      <c r="P3" s="2">
        <f>IF(O3="",0,SUMPRODUCT(--ISNUMBER(SEARCH(", "&amp;$A$2:$A$245&amp;",",", "&amp;O3&amp;",")),--($L$2:$L$245&lt;&gt;"Done")))</f>
        <v/>
      </c>
      <c r="Q3" s="3" t="inlineStr">
        <is>
          <t>open</t>
        </is>
      </c>
    </row>
    <row r="4">
      <c r="A4" s="2" t="inlineStr">
        <is>
          <t>ADM-L03</t>
        </is>
      </c>
      <c r="B4" s="2" t="n">
        <v>207</v>
      </c>
      <c r="C4" s="2" t="inlineStr">
        <is>
          <t>[ADMIN] Add subscriptions and customer invoicing</t>
        </is>
      </c>
      <c r="D4" s="2" t="inlineStr">
        <is>
          <t>admin</t>
        </is>
      </c>
      <c r="E4" s="2" t="inlineStr">
        <is>
          <t>[EPIC] M18 · Platform Admin &amp; Billing</t>
        </is>
      </c>
      <c r="F4" s="2" t="inlineStr">
        <is>
          <t>—</t>
        </is>
      </c>
      <c r="G4" s="2" t="inlineStr">
        <is>
          <t>Later</t>
        </is>
      </c>
      <c r="H4" s="2" t="inlineStr">
        <is>
          <t>L</t>
        </is>
      </c>
      <c r="I4" s="2">
        <f>IF(H4="S",0.5,IF(H4="M",1,IF(H4="L",2,0)))</f>
        <v/>
      </c>
      <c r="J4" s="2" t="inlineStr">
        <is>
          <t>Later</t>
        </is>
      </c>
      <c r="K4" s="2" t="inlineStr">
        <is>
          <t>backend</t>
        </is>
      </c>
      <c r="L4" s="2" t="inlineStr">
        <is>
          <t>Accepted</t>
        </is>
      </c>
      <c r="M4" s="2" t="inlineStr"/>
      <c r="N4" s="2" t="inlineStr">
        <is>
          <t>OPEN</t>
        </is>
      </c>
      <c r="O4" s="2" t="inlineStr">
        <is>
          <t>ADM-L02</t>
        </is>
      </c>
      <c r="P4" s="2">
        <f>IF(O4="",0,SUMPRODUCT(--ISNUMBER(SEARCH(", "&amp;$A$2:$A$245&amp;",",", "&amp;O4&amp;",")),--($L$2:$L$245&lt;&gt;"Done")))</f>
        <v/>
      </c>
      <c r="Q4" s="3" t="inlineStr">
        <is>
          <t>open</t>
        </is>
      </c>
    </row>
    <row r="5">
      <c r="A5" s="2" t="inlineStr">
        <is>
          <t>AGT-001</t>
        </is>
      </c>
      <c r="B5" s="2" t="n">
        <v>132</v>
      </c>
      <c r="C5" s="2" t="inlineStr">
        <is>
          <t>[AGENT] Build the LLM adapter with routing and timeouts</t>
        </is>
      </c>
      <c r="D5" s="2" t="inlineStr">
        <is>
          <t>agent</t>
        </is>
      </c>
      <c r="E5" s="2" t="inlineStr">
        <is>
          <t>[EPIC] M09 · AI Agent</t>
        </is>
      </c>
      <c r="F5" s="2" t="inlineStr">
        <is>
          <t>P0</t>
        </is>
      </c>
      <c r="G5" s="2" t="inlineStr">
        <is>
          <t>M1</t>
        </is>
      </c>
      <c r="H5" s="2" t="inlineStr">
        <is>
          <t>M</t>
        </is>
      </c>
      <c r="I5" s="2">
        <f>IF(H5="S",0.5,IF(H5="M",1,IF(H5="L",2,0)))</f>
        <v/>
      </c>
      <c r="J5" s="2" t="inlineStr">
        <is>
          <t>A</t>
        </is>
      </c>
      <c r="K5" s="2" t="inlineStr">
        <is>
          <t>ai</t>
        </is>
      </c>
      <c r="L5" s="2" t="inlineStr">
        <is>
          <t>Assigned</t>
        </is>
      </c>
      <c r="M5" s="2" t="inlineStr">
        <is>
          <t>therealtunguyen</t>
        </is>
      </c>
      <c r="N5" s="2" t="inlineStr">
        <is>
          <t>OPEN</t>
        </is>
      </c>
      <c r="O5" s="2" t="inlineStr">
        <is>
          <t>EXE-002</t>
        </is>
      </c>
      <c r="P5" s="2">
        <f>IF(O5="",0,SUMPRODUCT(--ISNUMBER(SEARCH(", "&amp;$A$2:$A$245&amp;",",", "&amp;O5&amp;",")),--($L$2:$L$245&lt;&gt;"Done")))</f>
        <v/>
      </c>
      <c r="Q5" s="3" t="inlineStr">
        <is>
          <t>open</t>
        </is>
      </c>
    </row>
    <row r="6">
      <c r="A6" s="2" t="inlineStr">
        <is>
          <t>AGT-002</t>
        </is>
      </c>
      <c r="B6" s="2" t="n">
        <v>134</v>
      </c>
      <c r="C6" s="2" t="inlineStr">
        <is>
          <t>[AGENT] Log every AI call and fail closed</t>
        </is>
      </c>
      <c r="D6" s="2" t="inlineStr">
        <is>
          <t>agent</t>
        </is>
      </c>
      <c r="E6" s="2" t="inlineStr">
        <is>
          <t>[EPIC] M09 · AI Agent</t>
        </is>
      </c>
      <c r="F6" s="2" t="inlineStr">
        <is>
          <t>P0</t>
        </is>
      </c>
      <c r="G6" s="2" t="inlineStr">
        <is>
          <t>M1</t>
        </is>
      </c>
      <c r="H6" s="2" t="inlineStr">
        <is>
          <t>S</t>
        </is>
      </c>
      <c r="I6" s="2">
        <f>IF(H6="S",0.5,IF(H6="M",1,IF(H6="L",2,0)))</f>
        <v/>
      </c>
      <c r="J6" s="2" t="inlineStr">
        <is>
          <t>A</t>
        </is>
      </c>
      <c r="K6" s="2" t="inlineStr">
        <is>
          <t>ai</t>
        </is>
      </c>
      <c r="L6" s="2" t="inlineStr">
        <is>
          <t>Assigned</t>
        </is>
      </c>
      <c r="M6" s="2" t="inlineStr">
        <is>
          <t>therealtunguyen</t>
        </is>
      </c>
      <c r="N6" s="2" t="inlineStr">
        <is>
          <t>OPEN</t>
        </is>
      </c>
      <c r="O6" s="2" t="inlineStr">
        <is>
          <t>AGT-001</t>
        </is>
      </c>
      <c r="P6" s="2">
        <f>IF(O6="",0,SUMPRODUCT(--ISNUMBER(SEARCH(", "&amp;$A$2:$A$245&amp;",",", "&amp;O6&amp;",")),--($L$2:$L$245&lt;&gt;"Done")))</f>
        <v/>
      </c>
      <c r="Q6" s="3" t="inlineStr">
        <is>
          <t>open</t>
        </is>
      </c>
    </row>
    <row r="7">
      <c r="A7" s="2" t="inlineStr">
        <is>
          <t>AGT-003</t>
        </is>
      </c>
      <c r="B7" s="2" t="n">
        <v>133</v>
      </c>
      <c r="C7" s="2" t="inlineStr">
        <is>
          <t>[AGENT] Implement untrusted-content wrapping and sanitization</t>
        </is>
      </c>
      <c r="D7" s="2" t="inlineStr">
        <is>
          <t>agent</t>
        </is>
      </c>
      <c r="E7" s="2" t="inlineStr">
        <is>
          <t>[EPIC] M09 · AI Agent</t>
        </is>
      </c>
      <c r="F7" s="2" t="inlineStr">
        <is>
          <t>P0</t>
        </is>
      </c>
      <c r="G7" s="2" t="inlineStr">
        <is>
          <t>M1</t>
        </is>
      </c>
      <c r="H7" s="2" t="inlineStr">
        <is>
          <t>S</t>
        </is>
      </c>
      <c r="I7" s="2">
        <f>IF(H7="S",0.5,IF(H7="M",1,IF(H7="L",2,0)))</f>
        <v/>
      </c>
      <c r="J7" s="2" t="inlineStr">
        <is>
          <t>A</t>
        </is>
      </c>
      <c r="K7" s="2" t="inlineStr">
        <is>
          <t>ai</t>
        </is>
      </c>
      <c r="L7" s="2" t="inlineStr">
        <is>
          <t>Assigned</t>
        </is>
      </c>
      <c r="M7" s="2" t="inlineStr">
        <is>
          <t>therealtunguyen</t>
        </is>
      </c>
      <c r="N7" s="2" t="inlineStr">
        <is>
          <t>OPEN</t>
        </is>
      </c>
      <c r="O7" s="2" t="inlineStr">
        <is>
          <t>AGT-001</t>
        </is>
      </c>
      <c r="P7" s="2">
        <f>IF(O7="",0,SUMPRODUCT(--ISNUMBER(SEARCH(", "&amp;$A$2:$A$245&amp;",",", "&amp;O7&amp;",")),--($L$2:$L$245&lt;&gt;"Done")))</f>
        <v/>
      </c>
      <c r="Q7" s="3" t="inlineStr">
        <is>
          <t>open</t>
        </is>
      </c>
    </row>
    <row r="8">
      <c r="A8" s="2" t="inlineStr">
        <is>
          <t>AGT-004</t>
        </is>
      </c>
      <c r="B8" s="2" t="n">
        <v>135</v>
      </c>
      <c r="C8" s="2" t="inlineStr">
        <is>
          <t>[AGENT] Implement invoice extraction</t>
        </is>
      </c>
      <c r="D8" s="2" t="inlineStr">
        <is>
          <t>agent</t>
        </is>
      </c>
      <c r="E8" s="2" t="inlineStr">
        <is>
          <t>[EPIC] M09 · AI Agent</t>
        </is>
      </c>
      <c r="F8" s="2" t="inlineStr">
        <is>
          <t>P0</t>
        </is>
      </c>
      <c r="G8" s="2" t="inlineStr">
        <is>
          <t>M1</t>
        </is>
      </c>
      <c r="H8" s="2" t="inlineStr">
        <is>
          <t>M</t>
        </is>
      </c>
      <c r="I8" s="2">
        <f>IF(H8="S",0.5,IF(H8="M",1,IF(H8="L",2,0)))</f>
        <v/>
      </c>
      <c r="J8" s="2" t="inlineStr">
        <is>
          <t>A</t>
        </is>
      </c>
      <c r="K8" s="2" t="inlineStr">
        <is>
          <t>ai</t>
        </is>
      </c>
      <c r="L8" s="2" t="inlineStr">
        <is>
          <t>Assigned</t>
        </is>
      </c>
      <c r="M8" s="2" t="inlineStr">
        <is>
          <t>therealtunguyen</t>
        </is>
      </c>
      <c r="N8" s="2" t="inlineStr">
        <is>
          <t>OPEN</t>
        </is>
      </c>
      <c r="O8" s="2" t="inlineStr">
        <is>
          <t>AGT-003, AGT-002, INV-004</t>
        </is>
      </c>
      <c r="P8" s="2">
        <f>IF(O8="",0,SUMPRODUCT(--ISNUMBER(SEARCH(", "&amp;$A$2:$A$245&amp;",",", "&amp;O8&amp;",")),--($L$2:$L$245&lt;&gt;"Done")))</f>
        <v/>
      </c>
      <c r="Q8" s="3" t="inlineStr">
        <is>
          <t>open</t>
        </is>
      </c>
    </row>
    <row r="9">
      <c r="A9" s="2" t="inlineStr">
        <is>
          <t>AGT-005</t>
        </is>
      </c>
      <c r="B9" s="2" t="n">
        <v>170</v>
      </c>
      <c r="C9" s="2" t="inlineStr">
        <is>
          <t>[AGENT] Extract and validate payment terms</t>
        </is>
      </c>
      <c r="D9" s="2" t="inlineStr">
        <is>
          <t>agent</t>
        </is>
      </c>
      <c r="E9" s="2" t="inlineStr">
        <is>
          <t>[EPIC] M09 · AI Agent</t>
        </is>
      </c>
      <c r="F9" s="2" t="inlineStr">
        <is>
          <t>P0</t>
        </is>
      </c>
      <c r="G9" s="2" t="inlineStr">
        <is>
          <t>M1</t>
        </is>
      </c>
      <c r="H9" s="2" t="inlineStr">
        <is>
          <t>S</t>
        </is>
      </c>
      <c r="I9" s="2">
        <f>IF(H9="S",0.5,IF(H9="M",1,IF(H9="L",2,0)))</f>
        <v/>
      </c>
      <c r="J9" s="2" t="inlineStr">
        <is>
          <t>A</t>
        </is>
      </c>
      <c r="K9" s="2" t="inlineStr">
        <is>
          <t>ai</t>
        </is>
      </c>
      <c r="L9" s="2" t="inlineStr">
        <is>
          <t>Assigned</t>
        </is>
      </c>
      <c r="M9" s="2" t="inlineStr">
        <is>
          <t>therealtunguyen</t>
        </is>
      </c>
      <c r="N9" s="2" t="inlineStr">
        <is>
          <t>OPEN</t>
        </is>
      </c>
      <c r="O9" s="2" t="inlineStr">
        <is>
          <t>AGT-004, ENG-005</t>
        </is>
      </c>
      <c r="P9" s="2">
        <f>IF(O9="",0,SUMPRODUCT(--ISNUMBER(SEARCH(", "&amp;$A$2:$A$245&amp;",",", "&amp;O9&amp;",")),--($L$2:$L$245&lt;&gt;"Done")))</f>
        <v/>
      </c>
      <c r="Q9" s="3" t="inlineStr">
        <is>
          <t>open</t>
        </is>
      </c>
    </row>
    <row r="10">
      <c r="A10" s="2" t="inlineStr">
        <is>
          <t>AGT-006</t>
        </is>
      </c>
      <c r="B10" s="2" t="n">
        <v>171</v>
      </c>
      <c r="C10" s="2" t="inlineStr">
        <is>
          <t>[AGENT] Detect instruction-like text in documents</t>
        </is>
      </c>
      <c r="D10" s="2" t="inlineStr">
        <is>
          <t>agent</t>
        </is>
      </c>
      <c r="E10" s="2" t="inlineStr">
        <is>
          <t>[EPIC] M09 · AI Agent</t>
        </is>
      </c>
      <c r="F10" s="2" t="inlineStr">
        <is>
          <t>P0</t>
        </is>
      </c>
      <c r="G10" s="2" t="inlineStr">
        <is>
          <t>M1</t>
        </is>
      </c>
      <c r="H10" s="2" t="inlineStr">
        <is>
          <t>S</t>
        </is>
      </c>
      <c r="I10" s="2">
        <f>IF(H10="S",0.5,IF(H10="M",1,IF(H10="L",2,0)))</f>
        <v/>
      </c>
      <c r="J10" s="2" t="inlineStr">
        <is>
          <t>A</t>
        </is>
      </c>
      <c r="K10" s="2" t="inlineStr">
        <is>
          <t>ai</t>
        </is>
      </c>
      <c r="L10" s="2" t="inlineStr">
        <is>
          <t>Assigned</t>
        </is>
      </c>
      <c r="M10" s="2" t="inlineStr">
        <is>
          <t>therealtunguyen</t>
        </is>
      </c>
      <c r="N10" s="2" t="inlineStr">
        <is>
          <t>OPEN</t>
        </is>
      </c>
      <c r="O10" s="2" t="inlineStr">
        <is>
          <t>AGT-004</t>
        </is>
      </c>
      <c r="P10" s="2">
        <f>IF(O10="",0,SUMPRODUCT(--ISNUMBER(SEARCH(", "&amp;$A$2:$A$245&amp;",",", "&amp;O10&amp;",")),--($L$2:$L$245&lt;&gt;"Done")))</f>
        <v/>
      </c>
      <c r="Q10" s="3" t="inlineStr">
        <is>
          <t>open</t>
        </is>
      </c>
    </row>
    <row r="11">
      <c r="A11" s="2" t="inlineStr">
        <is>
          <t>AGT-007</t>
        </is>
      </c>
      <c r="B11" s="2" t="n">
        <v>143</v>
      </c>
      <c r="C11" s="2" t="inlineStr">
        <is>
          <t>[AGENT] Implement the read-only tool layer</t>
        </is>
      </c>
      <c r="D11" s="2" t="inlineStr">
        <is>
          <t>agent</t>
        </is>
      </c>
      <c r="E11" s="2" t="inlineStr">
        <is>
          <t>[EPIC] M09 · AI Agent</t>
        </is>
      </c>
      <c r="F11" s="2" t="inlineStr">
        <is>
          <t>P0</t>
        </is>
      </c>
      <c r="G11" s="2" t="inlineStr">
        <is>
          <t>M1</t>
        </is>
      </c>
      <c r="H11" s="2" t="inlineStr">
        <is>
          <t>M</t>
        </is>
      </c>
      <c r="I11" s="2">
        <f>IF(H11="S",0.5,IF(H11="M",1,IF(H11="L",2,0)))</f>
        <v/>
      </c>
      <c r="J11" s="2" t="inlineStr">
        <is>
          <t>A</t>
        </is>
      </c>
      <c r="K11" s="2" t="inlineStr">
        <is>
          <t>ai</t>
        </is>
      </c>
      <c r="L11" s="2" t="inlineStr">
        <is>
          <t>Assigned</t>
        </is>
      </c>
      <c r="M11" s="2" t="inlineStr">
        <is>
          <t>therealtunguyen</t>
        </is>
      </c>
      <c r="N11" s="2" t="inlineStr">
        <is>
          <t>OPEN</t>
        </is>
      </c>
      <c r="O11" s="2" t="inlineStr">
        <is>
          <t>CHR-002, ENG-008, POL-003</t>
        </is>
      </c>
      <c r="P11" s="2">
        <f>IF(O11="",0,SUMPRODUCT(--ISNUMBER(SEARCH(", "&amp;$A$2:$A$245&amp;",",", "&amp;O11&amp;",")),--($L$2:$L$245&lt;&gt;"Done")))</f>
        <v/>
      </c>
      <c r="Q11" s="3" t="inlineStr">
        <is>
          <t>open</t>
        </is>
      </c>
    </row>
    <row r="12">
      <c r="A12" s="2" t="inlineStr">
        <is>
          <t>AGT-008</t>
        </is>
      </c>
      <c r="B12" s="2" t="n">
        <v>144</v>
      </c>
      <c r="C12" s="2" t="inlineStr">
        <is>
          <t>[AGENT] Implement the plan proposer</t>
        </is>
      </c>
      <c r="D12" s="2" t="inlineStr">
        <is>
          <t>agent</t>
        </is>
      </c>
      <c r="E12" s="2" t="inlineStr">
        <is>
          <t>[EPIC] M09 · AI Agent</t>
        </is>
      </c>
      <c r="F12" s="2" t="inlineStr">
        <is>
          <t>P0</t>
        </is>
      </c>
      <c r="G12" s="2" t="inlineStr">
        <is>
          <t>M1</t>
        </is>
      </c>
      <c r="H12" s="2" t="inlineStr">
        <is>
          <t>M</t>
        </is>
      </c>
      <c r="I12" s="2">
        <f>IF(H12="S",0.5,IF(H12="M",1,IF(H12="L",2,0)))</f>
        <v/>
      </c>
      <c r="J12" s="2" t="inlineStr">
        <is>
          <t>A</t>
        </is>
      </c>
      <c r="K12" s="2" t="inlineStr">
        <is>
          <t>ai</t>
        </is>
      </c>
      <c r="L12" s="2" t="inlineStr">
        <is>
          <t>Assigned</t>
        </is>
      </c>
      <c r="M12" s="2" t="inlineStr">
        <is>
          <t>therealtunguyen</t>
        </is>
      </c>
      <c r="N12" s="2" t="inlineStr">
        <is>
          <t>OPEN</t>
        </is>
      </c>
      <c r="O12" s="2" t="inlineStr">
        <is>
          <t>AGT-007</t>
        </is>
      </c>
      <c r="P12" s="2">
        <f>IF(O12="",0,SUMPRODUCT(--ISNUMBER(SEARCH(", "&amp;$A$2:$A$245&amp;",",", "&amp;O12&amp;",")),--($L$2:$L$245&lt;&gt;"Done")))</f>
        <v/>
      </c>
      <c r="Q12" s="3" t="inlineStr">
        <is>
          <t>open</t>
        </is>
      </c>
    </row>
    <row r="13">
      <c r="A13" s="2" t="inlineStr">
        <is>
          <t>AGT-009</t>
        </is>
      </c>
      <c r="B13" s="2" t="n">
        <v>145</v>
      </c>
      <c r="C13" s="2" t="inlineStr">
        <is>
          <t>[AGENT] Score AI proposals and select the plan</t>
        </is>
      </c>
      <c r="D13" s="2" t="inlineStr">
        <is>
          <t>agent</t>
        </is>
      </c>
      <c r="E13" s="2" t="inlineStr">
        <is>
          <t>[EPIC] M09 · AI Agent</t>
        </is>
      </c>
      <c r="F13" s="2" t="inlineStr">
        <is>
          <t>P0</t>
        </is>
      </c>
      <c r="G13" s="2" t="inlineStr">
        <is>
          <t>M1</t>
        </is>
      </c>
      <c r="H13" s="2" t="inlineStr">
        <is>
          <t>S</t>
        </is>
      </c>
      <c r="I13" s="2">
        <f>IF(H13="S",0.5,IF(H13="M",1,IF(H13="L",2,0)))</f>
        <v/>
      </c>
      <c r="J13" s="2" t="inlineStr">
        <is>
          <t>A</t>
        </is>
      </c>
      <c r="K13" s="2" t="inlineStr">
        <is>
          <t>ai</t>
        </is>
      </c>
      <c r="L13" s="2" t="inlineStr">
        <is>
          <t>Assigned</t>
        </is>
      </c>
      <c r="M13" s="2" t="inlineStr">
        <is>
          <t>therealtunguyen</t>
        </is>
      </c>
      <c r="N13" s="2" t="inlineStr">
        <is>
          <t>OPEN</t>
        </is>
      </c>
      <c r="O13" s="2" t="inlineStr">
        <is>
          <t>AGT-008, ENG-008</t>
        </is>
      </c>
      <c r="P13" s="2">
        <f>IF(O13="",0,SUMPRODUCT(--ISNUMBER(SEARCH(", "&amp;$A$2:$A$245&amp;",",", "&amp;O13&amp;",")),--($L$2:$L$245&lt;&gt;"Done")))</f>
        <v/>
      </c>
      <c r="Q13" s="3" t="inlineStr">
        <is>
          <t>open</t>
        </is>
      </c>
    </row>
    <row r="14">
      <c r="A14" s="2" t="inlineStr">
        <is>
          <t>AGT-010</t>
        </is>
      </c>
      <c r="B14" s="2" t="n">
        <v>172</v>
      </c>
      <c r="C14" s="2" t="inlineStr">
        <is>
          <t>[AGENT] Implement rule-based fallback templates</t>
        </is>
      </c>
      <c r="D14" s="2" t="inlineStr">
        <is>
          <t>agent</t>
        </is>
      </c>
      <c r="E14" s="2" t="inlineStr">
        <is>
          <t>[EPIC] M09 · AI Agent</t>
        </is>
      </c>
      <c r="F14" s="2" t="inlineStr">
        <is>
          <t>P0</t>
        </is>
      </c>
      <c r="G14" s="2" t="inlineStr">
        <is>
          <t>M1</t>
        </is>
      </c>
      <c r="H14" s="2" t="inlineStr">
        <is>
          <t>S</t>
        </is>
      </c>
      <c r="I14" s="2">
        <f>IF(H14="S",0.5,IF(H14="M",1,IF(H14="L",2,0)))</f>
        <v/>
      </c>
      <c r="J14" s="2" t="inlineStr">
        <is>
          <t>A</t>
        </is>
      </c>
      <c r="K14" s="2" t="inlineStr">
        <is>
          <t>ai</t>
        </is>
      </c>
      <c r="L14" s="2" t="inlineStr">
        <is>
          <t>Assigned</t>
        </is>
      </c>
      <c r="M14" s="2" t="inlineStr">
        <is>
          <t>therealtunguyen</t>
        </is>
      </c>
      <c r="N14" s="2" t="inlineStr">
        <is>
          <t>OPEN</t>
        </is>
      </c>
      <c r="O14" s="2" t="inlineStr">
        <is>
          <t>ENG-007, POL-003</t>
        </is>
      </c>
      <c r="P14" s="2">
        <f>IF(O14="",0,SUMPRODUCT(--ISNUMBER(SEARCH(", "&amp;$A$2:$A$245&amp;",",", "&amp;O14&amp;",")),--($L$2:$L$245&lt;&gt;"Done")))</f>
        <v/>
      </c>
      <c r="Q14" s="3" t="inlineStr">
        <is>
          <t>open</t>
        </is>
      </c>
    </row>
    <row r="15">
      <c r="A15" s="2" t="inlineStr">
        <is>
          <t>AGT-011</t>
        </is>
      </c>
      <c r="B15" s="2" t="n">
        <v>173</v>
      </c>
      <c r="C15" s="2" t="inlineStr">
        <is>
          <t>[AGENT] Draft exception requests with a numeric post-check</t>
        </is>
      </c>
      <c r="D15" s="2" t="inlineStr">
        <is>
          <t>agent</t>
        </is>
      </c>
      <c r="E15" s="2" t="inlineStr">
        <is>
          <t>[EPIC] M09 · AI Agent</t>
        </is>
      </c>
      <c r="F15" s="2" t="inlineStr">
        <is>
          <t>P1</t>
        </is>
      </c>
      <c r="G15" s="2" t="inlineStr">
        <is>
          <t>M1</t>
        </is>
      </c>
      <c r="H15" s="2" t="inlineStr">
        <is>
          <t>S</t>
        </is>
      </c>
      <c r="I15" s="2">
        <f>IF(H15="S",0.5,IF(H15="M",1,IF(H15="L",2,0)))</f>
        <v/>
      </c>
      <c r="J15" s="2" t="inlineStr">
        <is>
          <t>B</t>
        </is>
      </c>
      <c r="K15" s="2" t="inlineStr">
        <is>
          <t>ai</t>
        </is>
      </c>
      <c r="L15" s="2" t="inlineStr">
        <is>
          <t>Assigned</t>
        </is>
      </c>
      <c r="M15" s="2" t="inlineStr">
        <is>
          <t>therealtunguyen</t>
        </is>
      </c>
      <c r="N15" s="2" t="inlineStr">
        <is>
          <t>OPEN</t>
        </is>
      </c>
      <c r="O15" s="2" t="inlineStr">
        <is>
          <t>AGT-001, MDT-006</t>
        </is>
      </c>
      <c r="P15" s="2">
        <f>IF(O15="",0,SUMPRODUCT(--ISNUMBER(SEARCH(", "&amp;$A$2:$A$245&amp;",",", "&amp;O15&amp;",")),--($L$2:$L$245&lt;&gt;"Done")))</f>
        <v/>
      </c>
      <c r="Q15" s="3" t="inlineStr">
        <is>
          <t>open</t>
        </is>
      </c>
    </row>
    <row r="16">
      <c r="A16" s="2" t="inlineStr">
        <is>
          <t>AGT-012</t>
        </is>
      </c>
      <c r="B16" s="2" t="n">
        <v>174</v>
      </c>
      <c r="C16" s="2" t="inlineStr">
        <is>
          <t>[AGENT] Build the Copilot backend</t>
        </is>
      </c>
      <c r="D16" s="2" t="inlineStr">
        <is>
          <t>agent</t>
        </is>
      </c>
      <c r="E16" s="2" t="inlineStr">
        <is>
          <t>[EPIC] M09 · AI Agent</t>
        </is>
      </c>
      <c r="F16" s="2" t="inlineStr">
        <is>
          <t>P1</t>
        </is>
      </c>
      <c r="G16" s="2" t="inlineStr">
        <is>
          <t>M1</t>
        </is>
      </c>
      <c r="H16" s="2" t="inlineStr">
        <is>
          <t>L</t>
        </is>
      </c>
      <c r="I16" s="2">
        <f>IF(H16="S",0.5,IF(H16="M",1,IF(H16="L",2,0)))</f>
        <v/>
      </c>
      <c r="J16" s="2" t="inlineStr">
        <is>
          <t>After submission</t>
        </is>
      </c>
      <c r="K16" s="2" t="inlineStr">
        <is>
          <t>ai</t>
        </is>
      </c>
      <c r="L16" s="2" t="inlineStr">
        <is>
          <t>Assigned</t>
        </is>
      </c>
      <c r="M16" s="2" t="inlineStr">
        <is>
          <t>therealtunguyen</t>
        </is>
      </c>
      <c r="N16" s="2" t="inlineStr">
        <is>
          <t>OPEN</t>
        </is>
      </c>
      <c r="O16" s="2" t="inlineStr">
        <is>
          <t>AGT-007</t>
        </is>
      </c>
      <c r="P16" s="2">
        <f>IF(O16="",0,SUMPRODUCT(--ISNUMBER(SEARCH(", "&amp;$A$2:$A$245&amp;",",", "&amp;O16&amp;",")),--($L$2:$L$245&lt;&gt;"Done")))</f>
        <v/>
      </c>
      <c r="Q16" s="3" t="inlineStr">
        <is>
          <t>open</t>
        </is>
      </c>
    </row>
    <row r="17">
      <c r="A17" s="2" t="inlineStr">
        <is>
          <t>AGT-013</t>
        </is>
      </c>
      <c r="B17" s="2" t="n">
        <v>176</v>
      </c>
      <c r="C17" s="2" t="inlineStr">
        <is>
          <t>[AGENT] Build the extraction accuracy eval</t>
        </is>
      </c>
      <c r="D17" s="2" t="inlineStr">
        <is>
          <t>agent</t>
        </is>
      </c>
      <c r="E17" s="2" t="inlineStr">
        <is>
          <t>[EPIC] M09 · AI Agent</t>
        </is>
      </c>
      <c r="F17" s="2" t="inlineStr">
        <is>
          <t>P0</t>
        </is>
      </c>
      <c r="G17" s="2" t="inlineStr">
        <is>
          <t>M1</t>
        </is>
      </c>
      <c r="H17" s="2" t="inlineStr">
        <is>
          <t>S</t>
        </is>
      </c>
      <c r="I17" s="2">
        <f>IF(H17="S",0.5,IF(H17="M",1,IF(H17="L",2,0)))</f>
        <v/>
      </c>
      <c r="J17" s="2" t="inlineStr">
        <is>
          <t>B</t>
        </is>
      </c>
      <c r="K17" s="2" t="inlineStr">
        <is>
          <t>ai</t>
        </is>
      </c>
      <c r="L17" s="2" t="inlineStr">
        <is>
          <t>Assigned</t>
        </is>
      </c>
      <c r="M17" s="2" t="inlineStr">
        <is>
          <t>therealtunguyen</t>
        </is>
      </c>
      <c r="N17" s="2" t="inlineStr">
        <is>
          <t>OPEN</t>
        </is>
      </c>
      <c r="O17" s="2" t="inlineStr">
        <is>
          <t>AGT-005, DOM-004</t>
        </is>
      </c>
      <c r="P17" s="2">
        <f>IF(O17="",0,SUMPRODUCT(--ISNUMBER(SEARCH(", "&amp;$A$2:$A$245&amp;",",", "&amp;O17&amp;",")),--($L$2:$L$245&lt;&gt;"Done")))</f>
        <v/>
      </c>
      <c r="Q17" s="3" t="inlineStr">
        <is>
          <t>open</t>
        </is>
      </c>
    </row>
    <row r="18">
      <c r="A18" s="2" t="inlineStr">
        <is>
          <t>AGT-014</t>
        </is>
      </c>
      <c r="B18" s="2" t="n">
        <v>178</v>
      </c>
      <c r="C18" s="2" t="inlineStr">
        <is>
          <t>[AGENT] Build the planner benchmark (B1 vs B2)</t>
        </is>
      </c>
      <c r="D18" s="2" t="inlineStr">
        <is>
          <t>agent</t>
        </is>
      </c>
      <c r="E18" s="2" t="inlineStr">
        <is>
          <t>[EPIC] M09 · AI Agent</t>
        </is>
      </c>
      <c r="F18" s="2" t="inlineStr">
        <is>
          <t>P0</t>
        </is>
      </c>
      <c r="G18" s="2" t="inlineStr">
        <is>
          <t>M1</t>
        </is>
      </c>
      <c r="H18" s="2" t="inlineStr">
        <is>
          <t>M</t>
        </is>
      </c>
      <c r="I18" s="2">
        <f>IF(H18="S",0.5,IF(H18="M",1,IF(H18="L",2,0)))</f>
        <v/>
      </c>
      <c r="J18" s="2" t="inlineStr">
        <is>
          <t>A</t>
        </is>
      </c>
      <c r="K18" s="2" t="inlineStr">
        <is>
          <t>ai</t>
        </is>
      </c>
      <c r="L18" s="2" t="inlineStr">
        <is>
          <t>Assigned</t>
        </is>
      </c>
      <c r="M18" s="2" t="inlineStr">
        <is>
          <t>therealtunguyen</t>
        </is>
      </c>
      <c r="N18" s="2" t="inlineStr">
        <is>
          <t>OPEN</t>
        </is>
      </c>
      <c r="O18" s="2" t="inlineStr">
        <is>
          <t>AGT-009, ENG-006, DOM-005</t>
        </is>
      </c>
      <c r="P18" s="2">
        <f>IF(O18="",0,SUMPRODUCT(--ISNUMBER(SEARCH(", "&amp;$A$2:$A$245&amp;",",", "&amp;O18&amp;",")),--($L$2:$L$245&lt;&gt;"Done")))</f>
        <v/>
      </c>
      <c r="Q18" s="3" t="inlineStr">
        <is>
          <t>open</t>
        </is>
      </c>
    </row>
    <row r="19">
      <c r="A19" s="2" t="inlineStr">
        <is>
          <t>AGT-015</t>
        </is>
      </c>
      <c r="B19" s="2" t="n">
        <v>180</v>
      </c>
      <c r="C19" s="2" t="inlineStr">
        <is>
          <t>[AGENT] Build the red-team suite runner</t>
        </is>
      </c>
      <c r="D19" s="2" t="inlineStr">
        <is>
          <t>agent</t>
        </is>
      </c>
      <c r="E19" s="2" t="inlineStr">
        <is>
          <t>[EPIC] M09 · AI Agent</t>
        </is>
      </c>
      <c r="F19" s="2" t="inlineStr">
        <is>
          <t>P0</t>
        </is>
      </c>
      <c r="G19" s="2" t="inlineStr">
        <is>
          <t>M1</t>
        </is>
      </c>
      <c r="H19" s="2" t="inlineStr">
        <is>
          <t>S</t>
        </is>
      </c>
      <c r="I19" s="2">
        <f>IF(H19="S",0.5,IF(H19="M",1,IF(H19="L",2,0)))</f>
        <v/>
      </c>
      <c r="J19" s="2" t="inlineStr">
        <is>
          <t>A</t>
        </is>
      </c>
      <c r="K19" s="2" t="inlineStr">
        <is>
          <t>ai</t>
        </is>
      </c>
      <c r="L19" s="2" t="inlineStr">
        <is>
          <t>Assigned</t>
        </is>
      </c>
      <c r="M19" s="2" t="inlineStr">
        <is>
          <t>therealtunguyen</t>
        </is>
      </c>
      <c r="N19" s="2" t="inlineStr">
        <is>
          <t>OPEN</t>
        </is>
      </c>
      <c r="O19" s="2" t="inlineStr">
        <is>
          <t>AGT-006, DOM-006</t>
        </is>
      </c>
      <c r="P19" s="2">
        <f>IF(O19="",0,SUMPRODUCT(--ISNUMBER(SEARCH(", "&amp;$A$2:$A$245&amp;",",", "&amp;O19&amp;",")),--($L$2:$L$245&lt;&gt;"Done")))</f>
        <v/>
      </c>
      <c r="Q19" s="3" t="inlineStr">
        <is>
          <t>open</t>
        </is>
      </c>
    </row>
    <row r="20">
      <c r="A20" s="2" t="inlineStr">
        <is>
          <t>AGT-016</t>
        </is>
      </c>
      <c r="B20" s="2" t="n">
        <v>182</v>
      </c>
      <c r="C20" s="2" t="inlineStr">
        <is>
          <t>[AGENT] Build the Copilot numeric-fidelity suite</t>
        </is>
      </c>
      <c r="D20" s="2" t="inlineStr">
        <is>
          <t>agent</t>
        </is>
      </c>
      <c r="E20" s="2" t="inlineStr">
        <is>
          <t>[EPIC] M09 · AI Agent</t>
        </is>
      </c>
      <c r="F20" s="2" t="inlineStr">
        <is>
          <t>P1</t>
        </is>
      </c>
      <c r="G20" s="2" t="inlineStr">
        <is>
          <t>M1</t>
        </is>
      </c>
      <c r="H20" s="2" t="inlineStr">
        <is>
          <t>S</t>
        </is>
      </c>
      <c r="I20" s="2">
        <f>IF(H20="S",0.5,IF(H20="M",1,IF(H20="L",2,0)))</f>
        <v/>
      </c>
      <c r="J20" s="2" t="inlineStr">
        <is>
          <t>After submission</t>
        </is>
      </c>
      <c r="K20" s="2" t="inlineStr">
        <is>
          <t>ai</t>
        </is>
      </c>
      <c r="L20" s="2" t="inlineStr">
        <is>
          <t>Assigned</t>
        </is>
      </c>
      <c r="M20" s="2" t="inlineStr">
        <is>
          <t>therealtunguyen</t>
        </is>
      </c>
      <c r="N20" s="2" t="inlineStr">
        <is>
          <t>OPEN</t>
        </is>
      </c>
      <c r="O20" s="2" t="inlineStr">
        <is>
          <t>AGT-012, DOM-007</t>
        </is>
      </c>
      <c r="P20" s="2">
        <f>IF(O20="",0,SUMPRODUCT(--ISNUMBER(SEARCH(", "&amp;$A$2:$A$245&amp;",",", "&amp;O20&amp;",")),--($L$2:$L$245&lt;&gt;"Done")))</f>
        <v/>
      </c>
      <c r="Q20" s="3" t="inlineStr">
        <is>
          <t>open</t>
        </is>
      </c>
    </row>
    <row r="21">
      <c r="A21" s="2" t="inlineStr">
        <is>
          <t>AGT-017</t>
        </is>
      </c>
      <c r="B21" s="2" t="n">
        <v>183</v>
      </c>
      <c r="C21" s="2" t="inlineStr">
        <is>
          <t>[AGENT] Add a secondary LLM provider fallback</t>
        </is>
      </c>
      <c r="D21" s="2" t="inlineStr">
        <is>
          <t>agent</t>
        </is>
      </c>
      <c r="E21" s="2" t="inlineStr">
        <is>
          <t>[EPIC] M09 · AI Agent</t>
        </is>
      </c>
      <c r="F21" s="2" t="inlineStr">
        <is>
          <t>P1</t>
        </is>
      </c>
      <c r="G21" s="2" t="inlineStr">
        <is>
          <t>M1</t>
        </is>
      </c>
      <c r="H21" s="2" t="inlineStr">
        <is>
          <t>M</t>
        </is>
      </c>
      <c r="I21" s="2">
        <f>IF(H21="S",0.5,IF(H21="M",1,IF(H21="L",2,0)))</f>
        <v/>
      </c>
      <c r="J21" s="2" t="inlineStr">
        <is>
          <t>After submission</t>
        </is>
      </c>
      <c r="K21" s="2" t="inlineStr">
        <is>
          <t>ai</t>
        </is>
      </c>
      <c r="L21" s="2" t="inlineStr">
        <is>
          <t>Assigned</t>
        </is>
      </c>
      <c r="M21" s="2" t="inlineStr">
        <is>
          <t>therealtunguyen</t>
        </is>
      </c>
      <c r="N21" s="2" t="inlineStr">
        <is>
          <t>OPEN</t>
        </is>
      </c>
      <c r="O21" s="2" t="inlineStr">
        <is>
          <t>AGT-001</t>
        </is>
      </c>
      <c r="P21" s="2">
        <f>IF(O21="",0,SUMPRODUCT(--ISNUMBER(SEARCH(", "&amp;$A$2:$A$245&amp;",",", "&amp;O21&amp;",")),--($L$2:$L$245&lt;&gt;"Done")))</f>
        <v/>
      </c>
      <c r="Q21" s="3" t="inlineStr">
        <is>
          <t>open</t>
        </is>
      </c>
    </row>
    <row r="22">
      <c r="A22" s="2" t="inlineStr">
        <is>
          <t>AUD-001</t>
        </is>
      </c>
      <c r="B22" s="2" t="n">
        <v>54</v>
      </c>
      <c r="C22" s="2" t="inlineStr">
        <is>
          <t>[AUDIT] Implement the hash-chained audit log</t>
        </is>
      </c>
      <c r="D22" s="2" t="inlineStr">
        <is>
          <t>audit</t>
        </is>
      </c>
      <c r="E22" s="2" t="inlineStr">
        <is>
          <t>[EPIC] M15 · Audit &amp; Evidence</t>
        </is>
      </c>
      <c r="F22" s="2" t="inlineStr">
        <is>
          <t>P0</t>
        </is>
      </c>
      <c r="G22" s="2" t="inlineStr">
        <is>
          <t>M1</t>
        </is>
      </c>
      <c r="H22" s="2" t="inlineStr">
        <is>
          <t>M</t>
        </is>
      </c>
      <c r="I22" s="2">
        <f>IF(H22="S",0.5,IF(H22="M",1,IF(H22="L",2,0)))</f>
        <v/>
      </c>
      <c r="J22" s="2" t="inlineStr">
        <is>
          <t>A</t>
        </is>
      </c>
      <c r="K22" s="2" t="inlineStr">
        <is>
          <t>backend</t>
        </is>
      </c>
      <c r="L22" s="2" t="inlineStr">
        <is>
          <t>Assigned</t>
        </is>
      </c>
      <c r="M22" s="2" t="inlineStr">
        <is>
          <t>Nostidus4</t>
        </is>
      </c>
      <c r="N22" s="2" t="inlineStr">
        <is>
          <t>OPEN</t>
        </is>
      </c>
      <c r="O22" s="2" t="inlineStr">
        <is>
          <t>IDN-001</t>
        </is>
      </c>
      <c r="P22" s="2">
        <f>IF(O22="",0,SUMPRODUCT(--ISNUMBER(SEARCH(", "&amp;$A$2:$A$245&amp;",",", "&amp;O22&amp;",")),--($L$2:$L$245&lt;&gt;"Done")))</f>
        <v/>
      </c>
      <c r="Q22" s="3" t="inlineStr">
        <is>
          <t>open</t>
        </is>
      </c>
    </row>
    <row r="23">
      <c r="A23" s="2" t="inlineStr">
        <is>
          <t>AUD-002</t>
        </is>
      </c>
      <c r="B23" s="2" t="n">
        <v>197</v>
      </c>
      <c r="C23" s="2" t="inlineStr">
        <is>
          <t>[AUDIT] Add audit read and chain verification</t>
        </is>
      </c>
      <c r="D23" s="2" t="inlineStr">
        <is>
          <t>audit</t>
        </is>
      </c>
      <c r="E23" s="2" t="inlineStr">
        <is>
          <t>[EPIC] M15 · Audit &amp; Evidence</t>
        </is>
      </c>
      <c r="F23" s="2" t="inlineStr">
        <is>
          <t>P0</t>
        </is>
      </c>
      <c r="G23" s="2" t="inlineStr">
        <is>
          <t>M1</t>
        </is>
      </c>
      <c r="H23" s="2" t="inlineStr">
        <is>
          <t>S</t>
        </is>
      </c>
      <c r="I23" s="2">
        <f>IF(H23="S",0.5,IF(H23="M",1,IF(H23="L",2,0)))</f>
        <v/>
      </c>
      <c r="J23" s="2" t="inlineStr">
        <is>
          <t>After submission</t>
        </is>
      </c>
      <c r="K23" s="2" t="inlineStr">
        <is>
          <t>backend</t>
        </is>
      </c>
      <c r="L23" s="2" t="inlineStr">
        <is>
          <t>Assigned</t>
        </is>
      </c>
      <c r="M23" s="2" t="inlineStr">
        <is>
          <t>Nostidus4</t>
        </is>
      </c>
      <c r="N23" s="2" t="inlineStr">
        <is>
          <t>OPEN</t>
        </is>
      </c>
      <c r="O23" s="2" t="inlineStr">
        <is>
          <t>AUD-001</t>
        </is>
      </c>
      <c r="P23" s="2">
        <f>IF(O23="",0,SUMPRODUCT(--ISNUMBER(SEARCH(", "&amp;$A$2:$A$245&amp;",",", "&amp;O23&amp;",")),--($L$2:$L$245&lt;&gt;"Done")))</f>
        <v/>
      </c>
      <c r="Q23" s="3" t="inlineStr">
        <is>
          <t>open</t>
        </is>
      </c>
    </row>
    <row r="24">
      <c r="A24" s="2" t="inlineStr">
        <is>
          <t>AUD-003</t>
        </is>
      </c>
      <c r="B24" s="2" t="n">
        <v>66</v>
      </c>
      <c r="C24" s="2" t="inlineStr">
        <is>
          <t>[AUDIT] Define the evidence bundle schema and exporter</t>
        </is>
      </c>
      <c r="D24" s="2" t="inlineStr">
        <is>
          <t>audit</t>
        </is>
      </c>
      <c r="E24" s="2" t="inlineStr">
        <is>
          <t>[EPIC] M15 · Audit &amp; Evidence</t>
        </is>
      </c>
      <c r="F24" s="2" t="inlineStr">
        <is>
          <t>P0</t>
        </is>
      </c>
      <c r="G24" s="2" t="inlineStr">
        <is>
          <t>M1</t>
        </is>
      </c>
      <c r="H24" s="2" t="inlineStr">
        <is>
          <t>M</t>
        </is>
      </c>
      <c r="I24" s="2">
        <f>IF(H24="S",0.5,IF(H24="M",1,IF(H24="L",2,0)))</f>
        <v/>
      </c>
      <c r="J24" s="2" t="inlineStr">
        <is>
          <t>A</t>
        </is>
      </c>
      <c r="K24" s="2" t="inlineStr">
        <is>
          <t>backend</t>
        </is>
      </c>
      <c r="L24" s="2" t="inlineStr">
        <is>
          <t>Assigned</t>
        </is>
      </c>
      <c r="M24" s="2" t="inlineStr">
        <is>
          <t>Nostidus4</t>
        </is>
      </c>
      <c r="N24" s="2" t="inlineStr">
        <is>
          <t>OPEN</t>
        </is>
      </c>
      <c r="O24" s="2" t="inlineStr">
        <is>
          <t>AUD-001, EXE-008</t>
        </is>
      </c>
      <c r="P24" s="2">
        <f>IF(O24="",0,SUMPRODUCT(--ISNUMBER(SEARCH(", "&amp;$A$2:$A$245&amp;",",", "&amp;O24&amp;",")),--($L$2:$L$245&lt;&gt;"Done")))</f>
        <v/>
      </c>
      <c r="Q24" s="3" t="inlineStr">
        <is>
          <t>open</t>
        </is>
      </c>
    </row>
    <row r="25">
      <c r="A25" s="2" t="inlineStr">
        <is>
          <t>AUD-004</t>
        </is>
      </c>
      <c r="B25" s="2" t="n">
        <v>198</v>
      </c>
      <c r="C25" s="2" t="inlineStr">
        <is>
          <t>[AUDIT] Propagate coverage labels through the API</t>
        </is>
      </c>
      <c r="D25" s="2" t="inlineStr">
        <is>
          <t>audit</t>
        </is>
      </c>
      <c r="E25" s="2" t="inlineStr">
        <is>
          <t>[EPIC] M15 · Audit &amp; Evidence</t>
        </is>
      </c>
      <c r="F25" s="2" t="inlineStr">
        <is>
          <t>P1</t>
        </is>
      </c>
      <c r="G25" s="2" t="inlineStr">
        <is>
          <t>M1</t>
        </is>
      </c>
      <c r="H25" s="2" t="inlineStr">
        <is>
          <t>S</t>
        </is>
      </c>
      <c r="I25" s="2">
        <f>IF(H25="S",0.5,IF(H25="M",1,IF(H25="L",2,0)))</f>
        <v/>
      </c>
      <c r="J25" s="2" t="inlineStr">
        <is>
          <t>After submission</t>
        </is>
      </c>
      <c r="K25" s="2" t="inlineStr">
        <is>
          <t>backend</t>
        </is>
      </c>
      <c r="L25" s="2" t="inlineStr">
        <is>
          <t>Assigned</t>
        </is>
      </c>
      <c r="M25" s="2" t="inlineStr">
        <is>
          <t>Nostidus4</t>
        </is>
      </c>
      <c r="N25" s="2" t="inlineStr">
        <is>
          <t>OPEN</t>
        </is>
      </c>
      <c r="O25" s="2" t="inlineStr">
        <is>
          <t>CHR-002</t>
        </is>
      </c>
      <c r="P25" s="2">
        <f>IF(O25="",0,SUMPRODUCT(--ISNUMBER(SEARCH(", "&amp;$A$2:$A$245&amp;",",", "&amp;O25&amp;",")),--($L$2:$L$245&lt;&gt;"Done")))</f>
        <v/>
      </c>
      <c r="Q25" s="3" t="inlineStr">
        <is>
          <t>open</t>
        </is>
      </c>
    </row>
    <row r="26">
      <c r="A26" s="2" t="inlineStr">
        <is>
          <t>AUD-L01</t>
        </is>
      </c>
      <c r="B26" s="2" t="n">
        <v>199</v>
      </c>
      <c r="C26" s="2" t="inlineStr">
        <is>
          <t>[AUDIT] Anchor the audit hash root on-chain daily</t>
        </is>
      </c>
      <c r="D26" s="2" t="inlineStr">
        <is>
          <t>audit</t>
        </is>
      </c>
      <c r="E26" s="2" t="inlineStr">
        <is>
          <t>[EPIC] M15 · Audit &amp; Evidence</t>
        </is>
      </c>
      <c r="F26" s="2" t="inlineStr">
        <is>
          <t>—</t>
        </is>
      </c>
      <c r="G26" s="2" t="inlineStr">
        <is>
          <t>Later</t>
        </is>
      </c>
      <c r="H26" s="2" t="inlineStr">
        <is>
          <t>S</t>
        </is>
      </c>
      <c r="I26" s="2">
        <f>IF(H26="S",0.5,IF(H26="M",1,IF(H26="L",2,0)))</f>
        <v/>
      </c>
      <c r="J26" s="2" t="inlineStr">
        <is>
          <t>Later</t>
        </is>
      </c>
      <c r="K26" s="2" t="inlineStr">
        <is>
          <t>backend</t>
        </is>
      </c>
      <c r="L26" s="2" t="inlineStr">
        <is>
          <t>Accepted</t>
        </is>
      </c>
      <c r="M26" s="2" t="inlineStr"/>
      <c r="N26" s="2" t="inlineStr">
        <is>
          <t>OPEN</t>
        </is>
      </c>
      <c r="O26" s="2" t="inlineStr">
        <is>
          <t>AUD-002</t>
        </is>
      </c>
      <c r="P26" s="2">
        <f>IF(O26="",0,SUMPRODUCT(--ISNUMBER(SEARCH(", "&amp;$A$2:$A$245&amp;",",", "&amp;O26&amp;",")),--($L$2:$L$245&lt;&gt;"Done")))</f>
        <v/>
      </c>
      <c r="Q26" s="3" t="inlineStr">
        <is>
          <t>open</t>
        </is>
      </c>
    </row>
    <row r="27">
      <c r="A27" s="2" t="inlineStr">
        <is>
          <t>CHR-001</t>
        </is>
      </c>
      <c r="B27" s="2" t="n">
        <v>35</v>
      </c>
      <c r="C27" s="2" t="inlineStr">
        <is>
          <t>[CHAIN] Build the RPC client with failover</t>
        </is>
      </c>
      <c r="D27" s="2" t="inlineStr">
        <is>
          <t>chain-reader</t>
        </is>
      </c>
      <c r="E27" s="2" t="inlineStr">
        <is>
          <t>[EPIC] M06 · Chain Reader &amp; Tx Tracking</t>
        </is>
      </c>
      <c r="F27" s="2" t="inlineStr">
        <is>
          <t>P0</t>
        </is>
      </c>
      <c r="G27" s="2" t="inlineStr">
        <is>
          <t>M1</t>
        </is>
      </c>
      <c r="H27" s="2" t="inlineStr">
        <is>
          <t>M</t>
        </is>
      </c>
      <c r="I27" s="2">
        <f>IF(H27="S",0.5,IF(H27="M",1,IF(H27="L",2,0)))</f>
        <v/>
      </c>
      <c r="J27" s="2" t="inlineStr">
        <is>
          <t>A</t>
        </is>
      </c>
      <c r="K27" s="2" t="inlineStr">
        <is>
          <t>backend</t>
        </is>
      </c>
      <c r="L27" s="2" t="inlineStr">
        <is>
          <t>Assigned</t>
        </is>
      </c>
      <c r="M27" s="2" t="inlineStr">
        <is>
          <t>Nostidus4</t>
        </is>
      </c>
      <c r="N27" s="2" t="inlineStr">
        <is>
          <t>OPEN</t>
        </is>
      </c>
      <c r="O27" s="2" t="inlineStr">
        <is>
          <t>TRS-002</t>
        </is>
      </c>
      <c r="P27" s="2">
        <f>IF(O27="",0,SUMPRODUCT(--ISNUMBER(SEARCH(", "&amp;$A$2:$A$245&amp;",",", "&amp;O27&amp;",")),--($L$2:$L$245&lt;&gt;"Done")))</f>
        <v/>
      </c>
      <c r="Q27" s="3" t="inlineStr">
        <is>
          <t>open</t>
        </is>
      </c>
    </row>
    <row r="28">
      <c r="A28" s="2" t="inlineStr">
        <is>
          <t>CHR-002</t>
        </is>
      </c>
      <c r="B28" s="2" t="n">
        <v>140</v>
      </c>
      <c r="C28" s="2" t="inlineStr">
        <is>
          <t>[CHAIN] Implement block-consistent snapshots</t>
        </is>
      </c>
      <c r="D28" s="2" t="inlineStr">
        <is>
          <t>chain-reader</t>
        </is>
      </c>
      <c r="E28" s="2" t="inlineStr">
        <is>
          <t>[EPIC] M06 · Chain Reader &amp; Tx Tracking</t>
        </is>
      </c>
      <c r="F28" s="2" t="inlineStr">
        <is>
          <t>P0</t>
        </is>
      </c>
      <c r="G28" s="2" t="inlineStr">
        <is>
          <t>M1</t>
        </is>
      </c>
      <c r="H28" s="2" t="inlineStr">
        <is>
          <t>M</t>
        </is>
      </c>
      <c r="I28" s="2">
        <f>IF(H28="S",0.5,IF(H28="M",1,IF(H28="L",2,0)))</f>
        <v/>
      </c>
      <c r="J28" s="2" t="inlineStr">
        <is>
          <t>A</t>
        </is>
      </c>
      <c r="K28" s="2" t="inlineStr">
        <is>
          <t>backend</t>
        </is>
      </c>
      <c r="L28" s="2" t="inlineStr">
        <is>
          <t>Assigned</t>
        </is>
      </c>
      <c r="M28" s="2" t="inlineStr">
        <is>
          <t>Nostidus4</t>
        </is>
      </c>
      <c r="N28" s="2" t="inlineStr">
        <is>
          <t>OPEN</t>
        </is>
      </c>
      <c r="O28" s="2" t="inlineStr">
        <is>
          <t>CHR-001, TRS-004</t>
        </is>
      </c>
      <c r="P28" s="2">
        <f>IF(O28="",0,SUMPRODUCT(--ISNUMBER(SEARCH(", "&amp;$A$2:$A$245&amp;",",", "&amp;O28&amp;",")),--($L$2:$L$245&lt;&gt;"Done")))</f>
        <v/>
      </c>
      <c r="Q28" s="3" t="inlineStr">
        <is>
          <t>open</t>
        </is>
      </c>
    </row>
    <row r="29">
      <c r="A29" s="2" t="inlineStr">
        <is>
          <t>CHR-003</t>
        </is>
      </c>
      <c r="B29" s="2" t="n">
        <v>47</v>
      </c>
      <c r="C29" s="2" t="inlineStr">
        <is>
          <t>[CHAIN] Implement the transaction tracker</t>
        </is>
      </c>
      <c r="D29" s="2" t="inlineStr">
        <is>
          <t>chain-reader</t>
        </is>
      </c>
      <c r="E29" s="2" t="inlineStr">
        <is>
          <t>[EPIC] M06 · Chain Reader &amp; Tx Tracking</t>
        </is>
      </c>
      <c r="F29" s="2" t="inlineStr">
        <is>
          <t>P0</t>
        </is>
      </c>
      <c r="G29" s="2" t="inlineStr">
        <is>
          <t>M1</t>
        </is>
      </c>
      <c r="H29" s="2" t="inlineStr">
        <is>
          <t>M</t>
        </is>
      </c>
      <c r="I29" s="2">
        <f>IF(H29="S",0.5,IF(H29="M",1,IF(H29="L",2,0)))</f>
        <v/>
      </c>
      <c r="J29" s="2" t="inlineStr">
        <is>
          <t>A</t>
        </is>
      </c>
      <c r="K29" s="2" t="inlineStr">
        <is>
          <t>backend</t>
        </is>
      </c>
      <c r="L29" s="2" t="inlineStr">
        <is>
          <t>Assigned</t>
        </is>
      </c>
      <c r="M29" s="2" t="inlineStr">
        <is>
          <t>Nostidus4</t>
        </is>
      </c>
      <c r="N29" s="2" t="inlineStr">
        <is>
          <t>OPEN</t>
        </is>
      </c>
      <c r="O29" s="2" t="inlineStr">
        <is>
          <t>CHR-001, EXE-001</t>
        </is>
      </c>
      <c r="P29" s="2">
        <f>IF(O29="",0,SUMPRODUCT(--ISNUMBER(SEARCH(", "&amp;$A$2:$A$245&amp;",",", "&amp;O29&amp;",")),--($L$2:$L$245&lt;&gt;"Done")))</f>
        <v/>
      </c>
      <c r="Q29" s="3" t="inlineStr">
        <is>
          <t>open</t>
        </is>
      </c>
    </row>
    <row r="30">
      <c r="A30" s="2" t="inlineStr">
        <is>
          <t>CHR-004</t>
        </is>
      </c>
      <c r="B30" s="2" t="n">
        <v>141</v>
      </c>
      <c r="C30" s="2" t="inlineStr">
        <is>
          <t>[CHAIN] Detect reorgs and re-evaluate status</t>
        </is>
      </c>
      <c r="D30" s="2" t="inlineStr">
        <is>
          <t>chain-reader</t>
        </is>
      </c>
      <c r="E30" s="2" t="inlineStr">
        <is>
          <t>[EPIC] M06 · Chain Reader &amp; Tx Tracking</t>
        </is>
      </c>
      <c r="F30" s="2" t="inlineStr">
        <is>
          <t>P1</t>
        </is>
      </c>
      <c r="G30" s="2" t="inlineStr">
        <is>
          <t>M1</t>
        </is>
      </c>
      <c r="H30" s="2" t="inlineStr">
        <is>
          <t>S</t>
        </is>
      </c>
      <c r="I30" s="2">
        <f>IF(H30="S",0.5,IF(H30="M",1,IF(H30="L",2,0)))</f>
        <v/>
      </c>
      <c r="J30" s="2" t="inlineStr">
        <is>
          <t>After submission</t>
        </is>
      </c>
      <c r="K30" s="2" t="inlineStr">
        <is>
          <t>backend</t>
        </is>
      </c>
      <c r="L30" s="2" t="inlineStr">
        <is>
          <t>Assigned</t>
        </is>
      </c>
      <c r="M30" s="2" t="inlineStr">
        <is>
          <t>Nostidus4</t>
        </is>
      </c>
      <c r="N30" s="2" t="inlineStr">
        <is>
          <t>OPEN</t>
        </is>
      </c>
      <c r="O30" s="2" t="inlineStr">
        <is>
          <t>CHR-003</t>
        </is>
      </c>
      <c r="P30" s="2">
        <f>IF(O30="",0,SUMPRODUCT(--ISNUMBER(SEARCH(", "&amp;$A$2:$A$245&amp;",",", "&amp;O30&amp;",")),--($L$2:$L$245&lt;&gt;"Done")))</f>
        <v/>
      </c>
      <c r="Q30" s="3" t="inlineStr">
        <is>
          <t>open</t>
        </is>
      </c>
    </row>
    <row r="31">
      <c r="A31" s="2" t="inlineStr">
        <is>
          <t>CHR-005</t>
        </is>
      </c>
      <c r="B31" s="2" t="n">
        <v>117</v>
      </c>
      <c r="C31" s="2" t="inlineStr">
        <is>
          <t>[CHAIN] Index module and Safe events</t>
        </is>
      </c>
      <c r="D31" s="2" t="inlineStr">
        <is>
          <t>chain-reader</t>
        </is>
      </c>
      <c r="E31" s="2" t="inlineStr">
        <is>
          <t>[EPIC] M06 · Chain Reader &amp; Tx Tracking</t>
        </is>
      </c>
      <c r="F31" s="2" t="inlineStr">
        <is>
          <t>P1</t>
        </is>
      </c>
      <c r="G31" s="2" t="inlineStr">
        <is>
          <t>M1</t>
        </is>
      </c>
      <c r="H31" s="2" t="inlineStr">
        <is>
          <t>M</t>
        </is>
      </c>
      <c r="I31" s="2">
        <f>IF(H31="S",0.5,IF(H31="M",1,IF(H31="L",2,0)))</f>
        <v/>
      </c>
      <c r="J31" s="2" t="inlineStr">
        <is>
          <t>A</t>
        </is>
      </c>
      <c r="K31" s="2" t="inlineStr">
        <is>
          <t>backend</t>
        </is>
      </c>
      <c r="L31" s="2" t="inlineStr">
        <is>
          <t>Assigned</t>
        </is>
      </c>
      <c r="M31" s="2" t="inlineStr">
        <is>
          <t>Nostidus4</t>
        </is>
      </c>
      <c r="N31" s="2" t="inlineStr">
        <is>
          <t>OPEN</t>
        </is>
      </c>
      <c r="O31" s="2" t="inlineStr">
        <is>
          <t>CHR-001, SC-016</t>
        </is>
      </c>
      <c r="P31" s="2">
        <f>IF(O31="",0,SUMPRODUCT(--ISNUMBER(SEARCH(", "&amp;$A$2:$A$245&amp;",",", "&amp;O31&amp;",")),--($L$2:$L$245&lt;&gt;"Done")))</f>
        <v/>
      </c>
      <c r="Q31" s="3" t="inlineStr">
        <is>
          <t>open</t>
        </is>
      </c>
    </row>
    <row r="32">
      <c r="A32" s="2" t="inlineStr">
        <is>
          <t>CHR-006</t>
        </is>
      </c>
      <c r="B32" s="2" t="n">
        <v>253</v>
      </c>
      <c r="C32" s="2" t="inlineStr">
        <is>
          <t>[CHAIN] Index treasury token movements and alert on unexpected outflows</t>
        </is>
      </c>
      <c r="D32" s="2" t="inlineStr">
        <is>
          <t>chain-reader</t>
        </is>
      </c>
      <c r="E32" s="2" t="inlineStr">
        <is>
          <t>[EPIC] M06 · Chain Reader &amp; Tx Tracking</t>
        </is>
      </c>
      <c r="F32" s="2" t="inlineStr">
        <is>
          <t>P0</t>
        </is>
      </c>
      <c r="G32" s="2" t="inlineStr">
        <is>
          <t>M1</t>
        </is>
      </c>
      <c r="H32" s="2" t="inlineStr">
        <is>
          <t>S</t>
        </is>
      </c>
      <c r="I32" s="2">
        <f>IF(H32="S",0.5,IF(H32="M",1,IF(H32="L",2,0)))</f>
        <v/>
      </c>
      <c r="J32" s="2" t="inlineStr">
        <is>
          <t>A</t>
        </is>
      </c>
      <c r="K32" s="2" t="inlineStr">
        <is>
          <t>backend</t>
        </is>
      </c>
      <c r="L32" s="2" t="inlineStr">
        <is>
          <t>Assigned</t>
        </is>
      </c>
      <c r="M32" s="2" t="inlineStr">
        <is>
          <t>Nostidus4</t>
        </is>
      </c>
      <c r="N32" s="2" t="inlineStr">
        <is>
          <t>OPEN</t>
        </is>
      </c>
      <c r="O32" s="2" t="inlineStr">
        <is>
          <t>CHR-005, EXE-001</t>
        </is>
      </c>
      <c r="P32" s="2">
        <f>IF(O32="",0,SUMPRODUCT(--ISNUMBER(SEARCH(", "&amp;$A$2:$A$245&amp;",",", "&amp;O32&amp;",")),--($L$2:$L$245&lt;&gt;"Done")))</f>
        <v/>
      </c>
      <c r="Q32" s="3" t="inlineStr">
        <is>
          <t>open</t>
        </is>
      </c>
    </row>
    <row r="33">
      <c r="A33" s="2" t="inlineStr">
        <is>
          <t>CMP-001</t>
        </is>
      </c>
      <c r="B33" s="2" t="n">
        <v>50</v>
      </c>
      <c r="C33" s="2" t="inlineStr">
        <is>
          <t>[COMPLIANCE] Build the screening adapter and fixture provider</t>
        </is>
      </c>
      <c r="D33" s="2" t="inlineStr">
        <is>
          <t>compliance</t>
        </is>
      </c>
      <c r="E33" s="2" t="inlineStr">
        <is>
          <t>[EPIC] M14 · Compliance</t>
        </is>
      </c>
      <c r="F33" s="2" t="inlineStr">
        <is>
          <t>P1</t>
        </is>
      </c>
      <c r="G33" s="2" t="inlineStr">
        <is>
          <t>M1</t>
        </is>
      </c>
      <c r="H33" s="2" t="inlineStr">
        <is>
          <t>S</t>
        </is>
      </c>
      <c r="I33" s="2">
        <f>IF(H33="S",0.5,IF(H33="M",1,IF(H33="L",2,0)))</f>
        <v/>
      </c>
      <c r="J33" s="2" t="inlineStr">
        <is>
          <t>A</t>
        </is>
      </c>
      <c r="K33" s="2" t="inlineStr">
        <is>
          <t>backend</t>
        </is>
      </c>
      <c r="L33" s="2" t="inlineStr">
        <is>
          <t>Assigned</t>
        </is>
      </c>
      <c r="M33" s="2" t="inlineStr">
        <is>
          <t>Nostidus4</t>
        </is>
      </c>
      <c r="N33" s="2" t="inlineStr">
        <is>
          <t>OPEN</t>
        </is>
      </c>
      <c r="O33" s="2" t="inlineStr">
        <is>
          <t>MDT-001</t>
        </is>
      </c>
      <c r="P33" s="2">
        <f>IF(O33="",0,SUMPRODUCT(--ISNUMBER(SEARCH(", "&amp;$A$2:$A$245&amp;",",", "&amp;O33&amp;",")),--($L$2:$L$245&lt;&gt;"Done")))</f>
        <v/>
      </c>
      <c r="Q33" s="3" t="inlineStr">
        <is>
          <t>open</t>
        </is>
      </c>
    </row>
    <row r="34">
      <c r="A34" s="2" t="inlineStr">
        <is>
          <t>CMP-002</t>
        </is>
      </c>
      <c r="B34" s="2" t="n">
        <v>191</v>
      </c>
      <c r="C34" s="2" t="inlineStr">
        <is>
          <t>[COMPLIANCE] Screen payees before each PAY</t>
        </is>
      </c>
      <c r="D34" s="2" t="inlineStr">
        <is>
          <t>compliance</t>
        </is>
      </c>
      <c r="E34" s="2" t="inlineStr">
        <is>
          <t>[EPIC] M14 · Compliance</t>
        </is>
      </c>
      <c r="F34" s="2" t="inlineStr">
        <is>
          <t>P1</t>
        </is>
      </c>
      <c r="G34" s="2" t="inlineStr">
        <is>
          <t>M1</t>
        </is>
      </c>
      <c r="H34" s="2" t="inlineStr">
        <is>
          <t>S</t>
        </is>
      </c>
      <c r="I34" s="2">
        <f>IF(H34="S",0.5,IF(H34="M",1,IF(H34="L",2,0)))</f>
        <v/>
      </c>
      <c r="J34" s="2" t="inlineStr">
        <is>
          <t>After submission</t>
        </is>
      </c>
      <c r="K34" s="2" t="inlineStr">
        <is>
          <t>backend</t>
        </is>
      </c>
      <c r="L34" s="2" t="inlineStr">
        <is>
          <t>Assigned</t>
        </is>
      </c>
      <c r="M34" s="2" t="inlineStr">
        <is>
          <t>Nostidus4</t>
        </is>
      </c>
      <c r="N34" s="2" t="inlineStr">
        <is>
          <t>OPEN</t>
        </is>
      </c>
      <c r="O34" s="2" t="inlineStr">
        <is>
          <t>CMP-001, POL-003</t>
        </is>
      </c>
      <c r="P34" s="2">
        <f>IF(O34="",0,SUMPRODUCT(--ISNUMBER(SEARCH(", "&amp;$A$2:$A$245&amp;",",", "&amp;O34&amp;",")),--($L$2:$L$245&lt;&gt;"Done")))</f>
        <v/>
      </c>
      <c r="Q34" s="3" t="inlineStr">
        <is>
          <t>open</t>
        </is>
      </c>
    </row>
    <row r="35">
      <c r="A35" s="2" t="inlineStr">
        <is>
          <t>CMP-003</t>
        </is>
      </c>
      <c r="B35" s="2" t="n">
        <v>192</v>
      </c>
      <c r="C35" s="2" t="inlineStr">
        <is>
          <t>[COMPLIANCE] Implement data classification, encryption helpers and log redaction</t>
        </is>
      </c>
      <c r="D35" s="2" t="inlineStr">
        <is>
          <t>compliance</t>
        </is>
      </c>
      <c r="E35" s="2" t="inlineStr">
        <is>
          <t>[EPIC] M14 · Compliance</t>
        </is>
      </c>
      <c r="F35" s="2" t="inlineStr">
        <is>
          <t>P0</t>
        </is>
      </c>
      <c r="G35" s="2" t="inlineStr">
        <is>
          <t>M1</t>
        </is>
      </c>
      <c r="H35" s="2" t="inlineStr">
        <is>
          <t>M</t>
        </is>
      </c>
      <c r="I35" s="2">
        <f>IF(H35="S",0.5,IF(H35="M",1,IF(H35="L",2,0)))</f>
        <v/>
      </c>
      <c r="J35" s="2" t="inlineStr">
        <is>
          <t>B</t>
        </is>
      </c>
      <c r="K35" s="2" t="inlineStr">
        <is>
          <t>backend</t>
        </is>
      </c>
      <c r="L35" s="2" t="inlineStr">
        <is>
          <t>Assigned</t>
        </is>
      </c>
      <c r="M35" s="2" t="inlineStr">
        <is>
          <t>Nostidus4</t>
        </is>
      </c>
      <c r="N35" s="2" t="inlineStr">
        <is>
          <t>OPEN</t>
        </is>
      </c>
      <c r="O35" s="2" t="inlineStr">
        <is>
          <t>DEV-001</t>
        </is>
      </c>
      <c r="P35" s="2">
        <f>IF(O35="",0,SUMPRODUCT(--ISNUMBER(SEARCH(", "&amp;$A$2:$A$245&amp;",",", "&amp;O35&amp;",")),--($L$2:$L$245&lt;&gt;"Done")))</f>
        <v/>
      </c>
      <c r="Q35" s="3" t="inlineStr">
        <is>
          <t>open</t>
        </is>
      </c>
    </row>
    <row r="36">
      <c r="A36" s="2" t="inlineStr">
        <is>
          <t>CMP-L01</t>
        </is>
      </c>
      <c r="B36" s="2" t="n">
        <v>193</v>
      </c>
      <c r="C36" s="2" t="inlineStr">
        <is>
          <t>[COMPLIANCE] Integrate a KYB provider</t>
        </is>
      </c>
      <c r="D36" s="2" t="inlineStr">
        <is>
          <t>compliance</t>
        </is>
      </c>
      <c r="E36" s="2" t="inlineStr">
        <is>
          <t>[EPIC] M14 · Compliance</t>
        </is>
      </c>
      <c r="F36" s="2" t="inlineStr">
        <is>
          <t>—</t>
        </is>
      </c>
      <c r="G36" s="2" t="inlineStr">
        <is>
          <t>Later</t>
        </is>
      </c>
      <c r="H36" s="2" t="inlineStr">
        <is>
          <t>L</t>
        </is>
      </c>
      <c r="I36" s="2">
        <f>IF(H36="S",0.5,IF(H36="M",1,IF(H36="L",2,0)))</f>
        <v/>
      </c>
      <c r="J36" s="2" t="inlineStr">
        <is>
          <t>Later</t>
        </is>
      </c>
      <c r="K36" s="2" t="inlineStr">
        <is>
          <t>backend</t>
        </is>
      </c>
      <c r="L36" s="2" t="inlineStr">
        <is>
          <t>Accepted</t>
        </is>
      </c>
      <c r="M36" s="2" t="inlineStr"/>
      <c r="N36" s="2" t="inlineStr">
        <is>
          <t>OPEN</t>
        </is>
      </c>
      <c r="O36" s="2" t="inlineStr">
        <is>
          <t>CMP-001</t>
        </is>
      </c>
      <c r="P36" s="2">
        <f>IF(O36="",0,SUMPRODUCT(--ISNUMBER(SEARCH(", "&amp;$A$2:$A$245&amp;",",", "&amp;O36&amp;",")),--($L$2:$L$245&lt;&gt;"Done")))</f>
        <v/>
      </c>
      <c r="Q36" s="3" t="inlineStr">
        <is>
          <t>open</t>
        </is>
      </c>
    </row>
    <row r="37">
      <c r="A37" s="2" t="inlineStr">
        <is>
          <t>CMP-L02</t>
        </is>
      </c>
      <c r="B37" s="2" t="n">
        <v>194</v>
      </c>
      <c r="C37" s="2" t="inlineStr">
        <is>
          <t>[COMPLIANCE] Add Travel Rule support</t>
        </is>
      </c>
      <c r="D37" s="2" t="inlineStr">
        <is>
          <t>compliance</t>
        </is>
      </c>
      <c r="E37" s="2" t="inlineStr">
        <is>
          <t>[EPIC] M14 · Compliance</t>
        </is>
      </c>
      <c r="F37" s="2" t="inlineStr">
        <is>
          <t>—</t>
        </is>
      </c>
      <c r="G37" s="2" t="inlineStr">
        <is>
          <t>Later</t>
        </is>
      </c>
      <c r="H37" s="2" t="inlineStr">
        <is>
          <t>L</t>
        </is>
      </c>
      <c r="I37" s="2">
        <f>IF(H37="S",0.5,IF(H37="M",1,IF(H37="L",2,0)))</f>
        <v/>
      </c>
      <c r="J37" s="2" t="inlineStr">
        <is>
          <t>Later</t>
        </is>
      </c>
      <c r="K37" s="2" t="inlineStr">
        <is>
          <t>backend</t>
        </is>
      </c>
      <c r="L37" s="2" t="inlineStr">
        <is>
          <t>Accepted</t>
        </is>
      </c>
      <c r="M37" s="2" t="inlineStr"/>
      <c r="N37" s="2" t="inlineStr">
        <is>
          <t>OPEN</t>
        </is>
      </c>
      <c r="O37" s="2" t="inlineStr">
        <is>
          <t>CMP-L01</t>
        </is>
      </c>
      <c r="P37" s="2">
        <f>IF(O37="",0,SUMPRODUCT(--ISNUMBER(SEARCH(", "&amp;$A$2:$A$245&amp;",",", "&amp;O37&amp;",")),--($L$2:$L$245&lt;&gt;"Done")))</f>
        <v/>
      </c>
      <c r="Q37" s="3" t="inlineStr">
        <is>
          <t>open</t>
        </is>
      </c>
    </row>
    <row r="38">
      <c r="A38" s="2" t="inlineStr">
        <is>
          <t>CMP-L03</t>
        </is>
      </c>
      <c r="B38" s="2" t="n">
        <v>195</v>
      </c>
      <c r="C38" s="2" t="inlineStr">
        <is>
          <t>[COMPLIANCE] Add retention and deletion workflows</t>
        </is>
      </c>
      <c r="D38" s="2" t="inlineStr">
        <is>
          <t>compliance</t>
        </is>
      </c>
      <c r="E38" s="2" t="inlineStr">
        <is>
          <t>[EPIC] M14 · Compliance</t>
        </is>
      </c>
      <c r="F38" s="2" t="inlineStr">
        <is>
          <t>—</t>
        </is>
      </c>
      <c r="G38" s="2" t="inlineStr">
        <is>
          <t>Later</t>
        </is>
      </c>
      <c r="H38" s="2" t="inlineStr">
        <is>
          <t>M</t>
        </is>
      </c>
      <c r="I38" s="2">
        <f>IF(H38="S",0.5,IF(H38="M",1,IF(H38="L",2,0)))</f>
        <v/>
      </c>
      <c r="J38" s="2" t="inlineStr">
        <is>
          <t>Later</t>
        </is>
      </c>
      <c r="K38" s="2" t="inlineStr">
        <is>
          <t>backend</t>
        </is>
      </c>
      <c r="L38" s="2" t="inlineStr">
        <is>
          <t>Accepted</t>
        </is>
      </c>
      <c r="M38" s="2" t="inlineStr"/>
      <c r="N38" s="2" t="inlineStr">
        <is>
          <t>OPEN</t>
        </is>
      </c>
      <c r="O38" s="2" t="inlineStr">
        <is>
          <t>CMP-003</t>
        </is>
      </c>
      <c r="P38" s="2">
        <f>IF(O38="",0,SUMPRODUCT(--ISNUMBER(SEARCH(", "&amp;$A$2:$A$245&amp;",",", "&amp;O38&amp;",")),--($L$2:$L$245&lt;&gt;"Done")))</f>
        <v/>
      </c>
      <c r="Q38" s="3" t="inlineStr">
        <is>
          <t>open</t>
        </is>
      </c>
    </row>
    <row r="39">
      <c r="A39" s="2" t="inlineStr">
        <is>
          <t>CMP-L04</t>
        </is>
      </c>
      <c r="B39" s="2" t="n">
        <v>196</v>
      </c>
      <c r="C39" s="2" t="inlineStr">
        <is>
          <t>[COMPLIANCE] Add region pinning for stored data</t>
        </is>
      </c>
      <c r="D39" s="2" t="inlineStr">
        <is>
          <t>compliance</t>
        </is>
      </c>
      <c r="E39" s="2" t="inlineStr">
        <is>
          <t>[EPIC] M14 · Compliance</t>
        </is>
      </c>
      <c r="F39" s="2" t="inlineStr">
        <is>
          <t>—</t>
        </is>
      </c>
      <c r="G39" s="2" t="inlineStr">
        <is>
          <t>Later</t>
        </is>
      </c>
      <c r="H39" s="2" t="inlineStr">
        <is>
          <t>M</t>
        </is>
      </c>
      <c r="I39" s="2">
        <f>IF(H39="S",0.5,IF(H39="M",1,IF(H39="L",2,0)))</f>
        <v/>
      </c>
      <c r="J39" s="2" t="inlineStr">
        <is>
          <t>Later</t>
        </is>
      </c>
      <c r="K39" s="2" t="inlineStr">
        <is>
          <t>backend</t>
        </is>
      </c>
      <c r="L39" s="2" t="inlineStr">
        <is>
          <t>Accepted</t>
        </is>
      </c>
      <c r="M39" s="2" t="inlineStr"/>
      <c r="N39" s="2" t="inlineStr">
        <is>
          <t>OPEN</t>
        </is>
      </c>
      <c r="O39" s="2" t="inlineStr">
        <is>
          <t>CMP-L03</t>
        </is>
      </c>
      <c r="P39" s="2">
        <f>IF(O39="",0,SUMPRODUCT(--ISNUMBER(SEARCH(", "&amp;$A$2:$A$245&amp;",",", "&amp;O39&amp;",")),--($L$2:$L$245&lt;&gt;"Done")))</f>
        <v/>
      </c>
      <c r="Q39" s="3" t="inlineStr">
        <is>
          <t>open</t>
        </is>
      </c>
    </row>
    <row r="40">
      <c r="A40" s="2" t="inlineStr">
        <is>
          <t>DEV-001</t>
        </is>
      </c>
      <c r="B40" s="2" t="n">
        <v>21</v>
      </c>
      <c r="C40" s="2" t="inlineStr">
        <is>
          <t>[DEVEX] Initialize monorepo skeleton</t>
        </is>
      </c>
      <c r="D40" s="2" t="inlineStr">
        <is>
          <t>devex</t>
        </is>
      </c>
      <c r="E40" s="2" t="inlineStr">
        <is>
          <t>[EPIC] M19 · Developer Experience &amp; Quality</t>
        </is>
      </c>
      <c r="F40" s="2" t="inlineStr">
        <is>
          <t>P0</t>
        </is>
      </c>
      <c r="G40" s="2" t="inlineStr">
        <is>
          <t>M1</t>
        </is>
      </c>
      <c r="H40" s="2" t="inlineStr">
        <is>
          <t>M</t>
        </is>
      </c>
      <c r="I40" s="2">
        <f>IF(H40="S",0.5,IF(H40="M",1,IF(H40="L",2,0)))</f>
        <v/>
      </c>
      <c r="J40" s="2" t="inlineStr">
        <is>
          <t>A</t>
        </is>
      </c>
      <c r="K40" s="2" t="inlineStr">
        <is>
          <t>infrastructure</t>
        </is>
      </c>
      <c r="L40" s="2" t="inlineStr">
        <is>
          <t>Done</t>
        </is>
      </c>
      <c r="M40" s="2" t="inlineStr"/>
      <c r="N40" s="2" t="inlineStr">
        <is>
          <t>CLOSED</t>
        </is>
      </c>
      <c r="O40" s="2" t="inlineStr"/>
      <c r="P40" s="2">
        <f>IF(O40="",0,SUMPRODUCT(--ISNUMBER(SEARCH(", "&amp;$A$2:$A$245&amp;",",", "&amp;O40&amp;",")),--($L$2:$L$245&lt;&gt;"Done")))</f>
        <v/>
      </c>
      <c r="Q40" s="3" t="inlineStr">
        <is>
          <t>open</t>
        </is>
      </c>
    </row>
    <row r="41">
      <c r="A41" s="2" t="inlineStr">
        <is>
          <t>DEV-002</t>
        </is>
      </c>
      <c r="B41" s="2" t="n">
        <v>22</v>
      </c>
      <c r="C41" s="2" t="inlineStr">
        <is>
          <t>[DEVEX] Create Docker Compose stack (local profile)</t>
        </is>
      </c>
      <c r="D41" s="2" t="inlineStr">
        <is>
          <t>devex</t>
        </is>
      </c>
      <c r="E41" s="2" t="inlineStr">
        <is>
          <t>[EPIC] M19 · Developer Experience &amp; Quality</t>
        </is>
      </c>
      <c r="F41" s="2" t="inlineStr">
        <is>
          <t>P0</t>
        </is>
      </c>
      <c r="G41" s="2" t="inlineStr">
        <is>
          <t>M1</t>
        </is>
      </c>
      <c r="H41" s="2" t="inlineStr">
        <is>
          <t>M</t>
        </is>
      </c>
      <c r="I41" s="2">
        <f>IF(H41="S",0.5,IF(H41="M",1,IF(H41="L",2,0)))</f>
        <v/>
      </c>
      <c r="J41" s="2" t="inlineStr">
        <is>
          <t>A</t>
        </is>
      </c>
      <c r="K41" s="2" t="inlineStr">
        <is>
          <t>infrastructure</t>
        </is>
      </c>
      <c r="L41" s="2" t="inlineStr">
        <is>
          <t>Done</t>
        </is>
      </c>
      <c r="M41" s="2" t="inlineStr"/>
      <c r="N41" s="2" t="inlineStr">
        <is>
          <t>CLOSED</t>
        </is>
      </c>
      <c r="O41" s="2" t="inlineStr">
        <is>
          <t>DEV-001</t>
        </is>
      </c>
      <c r="P41" s="2">
        <f>IF(O41="",0,SUMPRODUCT(--ISNUMBER(SEARCH(", "&amp;$A$2:$A$245&amp;",",", "&amp;O41&amp;",")),--($L$2:$L$245&lt;&gt;"Done")))</f>
        <v/>
      </c>
      <c r="Q41" s="3" t="inlineStr">
        <is>
          <t>open</t>
        </is>
      </c>
    </row>
    <row r="42">
      <c r="A42" s="2" t="inlineStr">
        <is>
          <t>DEV-003</t>
        </is>
      </c>
      <c r="B42" s="2" t="n">
        <v>23</v>
      </c>
      <c r="C42" s="2" t="inlineStr">
        <is>
          <t>[DEVEX] Add CI workflow for Python</t>
        </is>
      </c>
      <c r="D42" s="2" t="inlineStr">
        <is>
          <t>devex</t>
        </is>
      </c>
      <c r="E42" s="2" t="inlineStr">
        <is>
          <t>[EPIC] M19 · Developer Experience &amp; Quality</t>
        </is>
      </c>
      <c r="F42" s="2" t="inlineStr">
        <is>
          <t>P1</t>
        </is>
      </c>
      <c r="G42" s="2" t="inlineStr">
        <is>
          <t>M1</t>
        </is>
      </c>
      <c r="H42" s="2" t="inlineStr">
        <is>
          <t>S</t>
        </is>
      </c>
      <c r="I42" s="2">
        <f>IF(H42="S",0.5,IF(H42="M",1,IF(H42="L",2,0)))</f>
        <v/>
      </c>
      <c r="J42" s="2" t="inlineStr">
        <is>
          <t>A</t>
        </is>
      </c>
      <c r="K42" s="2" t="inlineStr">
        <is>
          <t>infrastructure</t>
        </is>
      </c>
      <c r="L42" s="2" t="inlineStr">
        <is>
          <t>Done</t>
        </is>
      </c>
      <c r="M42" s="2" t="inlineStr"/>
      <c r="N42" s="2" t="inlineStr">
        <is>
          <t>CLOSED</t>
        </is>
      </c>
      <c r="O42" s="2" t="inlineStr">
        <is>
          <t>DEV-001</t>
        </is>
      </c>
      <c r="P42" s="2">
        <f>IF(O42="",0,SUMPRODUCT(--ISNUMBER(SEARCH(", "&amp;$A$2:$A$245&amp;",",", "&amp;O42&amp;",")),--($L$2:$L$245&lt;&gt;"Done")))</f>
        <v/>
      </c>
      <c r="Q42" s="3" t="inlineStr">
        <is>
          <t>open</t>
        </is>
      </c>
    </row>
    <row r="43">
      <c r="A43" s="2" t="inlineStr">
        <is>
          <t>DEV-004</t>
        </is>
      </c>
      <c r="B43" s="2" t="n">
        <v>25</v>
      </c>
      <c r="C43" s="2" t="inlineStr">
        <is>
          <t>[DEVEX] Add CI workflow for contracts</t>
        </is>
      </c>
      <c r="D43" s="2" t="inlineStr">
        <is>
          <t>devex</t>
        </is>
      </c>
      <c r="E43" s="2" t="inlineStr">
        <is>
          <t>[EPIC] M19 · Developer Experience &amp; Quality</t>
        </is>
      </c>
      <c r="F43" s="2" t="inlineStr">
        <is>
          <t>P1</t>
        </is>
      </c>
      <c r="G43" s="2" t="inlineStr">
        <is>
          <t>M1</t>
        </is>
      </c>
      <c r="H43" s="2" t="inlineStr">
        <is>
          <t>S</t>
        </is>
      </c>
      <c r="I43" s="2">
        <f>IF(H43="S",0.5,IF(H43="M",1,IF(H43="L",2,0)))</f>
        <v/>
      </c>
      <c r="J43" s="2" t="inlineStr">
        <is>
          <t>B</t>
        </is>
      </c>
      <c r="K43" s="2" t="inlineStr">
        <is>
          <t>infrastructure</t>
        </is>
      </c>
      <c r="L43" s="2" t="inlineStr">
        <is>
          <t>Assigned</t>
        </is>
      </c>
      <c r="M43" s="2" t="inlineStr">
        <is>
          <t>therealtunguyen</t>
        </is>
      </c>
      <c r="N43" s="2" t="inlineStr">
        <is>
          <t>OPEN</t>
        </is>
      </c>
      <c r="O43" s="2" t="inlineStr">
        <is>
          <t>SC-001</t>
        </is>
      </c>
      <c r="P43" s="2">
        <f>IF(O43="",0,SUMPRODUCT(--ISNUMBER(SEARCH(", "&amp;$A$2:$A$245&amp;",",", "&amp;O43&amp;",")),--($L$2:$L$245&lt;&gt;"Done")))</f>
        <v/>
      </c>
      <c r="Q43" s="3" t="inlineStr">
        <is>
          <t>open</t>
        </is>
      </c>
    </row>
    <row r="44">
      <c r="A44" s="2" t="inlineStr">
        <is>
          <t>DEV-005</t>
        </is>
      </c>
      <c r="B44" s="2" t="n">
        <v>27</v>
      </c>
      <c r="C44" s="2" t="inlineStr">
        <is>
          <t>[DEVEX] Add CI workflow for web and OpenAPI client drift</t>
        </is>
      </c>
      <c r="D44" s="2" t="inlineStr">
        <is>
          <t>devex</t>
        </is>
      </c>
      <c r="E44" s="2" t="inlineStr">
        <is>
          <t>[EPIC] M19 · Developer Experience &amp; Quality</t>
        </is>
      </c>
      <c r="F44" s="2" t="inlineStr">
        <is>
          <t>P1</t>
        </is>
      </c>
      <c r="G44" s="2" t="inlineStr">
        <is>
          <t>M1</t>
        </is>
      </c>
      <c r="H44" s="2" t="inlineStr">
        <is>
          <t>S</t>
        </is>
      </c>
      <c r="I44" s="2">
        <f>IF(H44="S",0.5,IF(H44="M",1,IF(H44="L",2,0)))</f>
        <v/>
      </c>
      <c r="J44" s="2" t="inlineStr">
        <is>
          <t>After submission</t>
        </is>
      </c>
      <c r="K44" s="2" t="inlineStr">
        <is>
          <t>infrastructure</t>
        </is>
      </c>
      <c r="L44" s="2" t="inlineStr">
        <is>
          <t>Done</t>
        </is>
      </c>
      <c r="M44" s="2" t="inlineStr"/>
      <c r="N44" s="2" t="inlineStr">
        <is>
          <t>CLOSED</t>
        </is>
      </c>
      <c r="O44" s="2" t="inlineStr">
        <is>
          <t>WEB-001</t>
        </is>
      </c>
      <c r="P44" s="2">
        <f>IF(O44="",0,SUMPRODUCT(--ISNUMBER(SEARCH(", "&amp;$A$2:$A$245&amp;",",", "&amp;O44&amp;",")),--($L$2:$L$245&lt;&gt;"Done")))</f>
        <v/>
      </c>
      <c r="Q44" s="3" t="inlineStr">
        <is>
          <t>open</t>
        </is>
      </c>
    </row>
    <row r="45">
      <c r="A45" s="2" t="inlineStr">
        <is>
          <t>DEV-006</t>
        </is>
      </c>
      <c r="B45" s="2" t="n">
        <v>53</v>
      </c>
      <c r="C45" s="2" t="inlineStr">
        <is>
          <t>[DEVEX] Write seed script for the local environment</t>
        </is>
      </c>
      <c r="D45" s="2" t="inlineStr">
        <is>
          <t>devex</t>
        </is>
      </c>
      <c r="E45" s="2" t="inlineStr">
        <is>
          <t>[EPIC] M19 · Developer Experience &amp; Quality</t>
        </is>
      </c>
      <c r="F45" s="2" t="inlineStr">
        <is>
          <t>P1</t>
        </is>
      </c>
      <c r="G45" s="2" t="inlineStr">
        <is>
          <t>M1</t>
        </is>
      </c>
      <c r="H45" s="2" t="inlineStr">
        <is>
          <t>M</t>
        </is>
      </c>
      <c r="I45" s="2">
        <f>IF(H45="S",0.5,IF(H45="M",1,IF(H45="L",2,0)))</f>
        <v/>
      </c>
      <c r="J45" s="2" t="inlineStr">
        <is>
          <t>A</t>
        </is>
      </c>
      <c r="K45" s="2" t="inlineStr">
        <is>
          <t>infrastructure</t>
        </is>
      </c>
      <c r="L45" s="2" t="inlineStr">
        <is>
          <t>Assigned</t>
        </is>
      </c>
      <c r="M45" s="2" t="inlineStr">
        <is>
          <t>therealtunguyen</t>
        </is>
      </c>
      <c r="N45" s="2" t="inlineStr">
        <is>
          <t>OPEN</t>
        </is>
      </c>
      <c r="O45" s="2" t="inlineStr">
        <is>
          <t>SC-016, TRS-004, MDT-003, INV-003</t>
        </is>
      </c>
      <c r="P45" s="2">
        <f>IF(O45="",0,SUMPRODUCT(--ISNUMBER(SEARCH(", "&amp;$A$2:$A$245&amp;",",", "&amp;O45&amp;",")),--($L$2:$L$245&lt;&gt;"Done")))</f>
        <v/>
      </c>
      <c r="Q45" s="3" t="inlineStr">
        <is>
          <t>open</t>
        </is>
      </c>
    </row>
    <row r="46">
      <c r="A46" s="2" t="inlineStr">
        <is>
          <t>DEV-007</t>
        </is>
      </c>
      <c r="B46" s="2" t="n">
        <v>67</v>
      </c>
      <c r="C46" s="2" t="inlineStr">
        <is>
          <t>[DEVEX] Build scenario runner CLI</t>
        </is>
      </c>
      <c r="D46" s="2" t="inlineStr">
        <is>
          <t>devex</t>
        </is>
      </c>
      <c r="E46" s="2" t="inlineStr">
        <is>
          <t>[EPIC] M19 · Developer Experience &amp; Quality</t>
        </is>
      </c>
      <c r="F46" s="2" t="inlineStr">
        <is>
          <t>P1</t>
        </is>
      </c>
      <c r="G46" s="2" t="inlineStr">
        <is>
          <t>M1</t>
        </is>
      </c>
      <c r="H46" s="2" t="inlineStr">
        <is>
          <t>M</t>
        </is>
      </c>
      <c r="I46" s="2">
        <f>IF(H46="S",0.5,IF(H46="M",1,IF(H46="L",2,0)))</f>
        <v/>
      </c>
      <c r="J46" s="2" t="inlineStr">
        <is>
          <t>A</t>
        </is>
      </c>
      <c r="K46" s="2" t="inlineStr">
        <is>
          <t>infrastructure</t>
        </is>
      </c>
      <c r="L46" s="2" t="inlineStr">
        <is>
          <t>Assigned</t>
        </is>
      </c>
      <c r="M46" s="2" t="inlineStr">
        <is>
          <t>therealtunguyen</t>
        </is>
      </c>
      <c r="N46" s="2" t="inlineStr">
        <is>
          <t>OPEN</t>
        </is>
      </c>
      <c r="O46" s="2" t="inlineStr">
        <is>
          <t>DEV-006, AUD-003</t>
        </is>
      </c>
      <c r="P46" s="2">
        <f>IF(O46="",0,SUMPRODUCT(--ISNUMBER(SEARCH(", "&amp;$A$2:$A$245&amp;",",", "&amp;O46&amp;",")),--($L$2:$L$245&lt;&gt;"Done")))</f>
        <v/>
      </c>
      <c r="Q46" s="3" t="inlineStr">
        <is>
          <t>open</t>
        </is>
      </c>
    </row>
    <row r="47">
      <c r="A47" s="2" t="inlineStr">
        <is>
          <t>DEV-008</t>
        </is>
      </c>
      <c r="B47" s="2" t="n">
        <v>68</v>
      </c>
      <c r="C47" s="2" t="inlineStr">
        <is>
          <t>[DEVEX] Write the demo runbook</t>
        </is>
      </c>
      <c r="D47" s="2" t="inlineStr">
        <is>
          <t>devex</t>
        </is>
      </c>
      <c r="E47" s="2" t="inlineStr">
        <is>
          <t>[EPIC] M19 · Developer Experience &amp; Quality</t>
        </is>
      </c>
      <c r="F47" s="2" t="inlineStr">
        <is>
          <t>P1</t>
        </is>
      </c>
      <c r="G47" s="2" t="inlineStr">
        <is>
          <t>M1</t>
        </is>
      </c>
      <c r="H47" s="2" t="inlineStr">
        <is>
          <t>S</t>
        </is>
      </c>
      <c r="I47" s="2">
        <f>IF(H47="S",0.5,IF(H47="M",1,IF(H47="L",2,0)))</f>
        <v/>
      </c>
      <c r="J47" s="2" t="inlineStr">
        <is>
          <t>A</t>
        </is>
      </c>
      <c r="K47" s="2" t="inlineStr">
        <is>
          <t>infrastructure</t>
        </is>
      </c>
      <c r="L47" s="2" t="inlineStr">
        <is>
          <t>Assigned</t>
        </is>
      </c>
      <c r="M47" s="2" t="inlineStr">
        <is>
          <t>therealtunguyen</t>
        </is>
      </c>
      <c r="N47" s="2" t="inlineStr">
        <is>
          <t>OPEN</t>
        </is>
      </c>
      <c r="O47" s="2" t="inlineStr">
        <is>
          <t>DEV-007</t>
        </is>
      </c>
      <c r="P47" s="2">
        <f>IF(O47="",0,SUMPRODUCT(--ISNUMBER(SEARCH(", "&amp;$A$2:$A$245&amp;",",", "&amp;O47&amp;",")),--($L$2:$L$245&lt;&gt;"Done")))</f>
        <v/>
      </c>
      <c r="Q47" s="3" t="inlineStr">
        <is>
          <t>open</t>
        </is>
      </c>
    </row>
    <row r="48">
      <c r="A48" s="2" t="inlineStr">
        <is>
          <t>DEV-009</t>
        </is>
      </c>
      <c r="B48" s="2" t="n">
        <v>69</v>
      </c>
      <c r="C48" s="2" t="inlineStr">
        <is>
          <t>[DEVEX] Build the reliability run harness</t>
        </is>
      </c>
      <c r="D48" s="2" t="inlineStr">
        <is>
          <t>devex</t>
        </is>
      </c>
      <c r="E48" s="2" t="inlineStr">
        <is>
          <t>[EPIC] M19 · Developer Experience &amp; Quality</t>
        </is>
      </c>
      <c r="F48" s="2" t="inlineStr">
        <is>
          <t>P1</t>
        </is>
      </c>
      <c r="G48" s="2" t="inlineStr">
        <is>
          <t>M1</t>
        </is>
      </c>
      <c r="H48" s="2" t="inlineStr">
        <is>
          <t>S</t>
        </is>
      </c>
      <c r="I48" s="2">
        <f>IF(H48="S",0.5,IF(H48="M",1,IF(H48="L",2,0)))</f>
        <v/>
      </c>
      <c r="J48" s="2" t="inlineStr">
        <is>
          <t>After submission</t>
        </is>
      </c>
      <c r="K48" s="2" t="inlineStr">
        <is>
          <t>infrastructure</t>
        </is>
      </c>
      <c r="L48" s="2" t="inlineStr">
        <is>
          <t>Assigned</t>
        </is>
      </c>
      <c r="M48" s="2" t="inlineStr">
        <is>
          <t>therealtunguyen</t>
        </is>
      </c>
      <c r="N48" s="2" t="inlineStr">
        <is>
          <t>OPEN</t>
        </is>
      </c>
      <c r="O48" s="2" t="inlineStr">
        <is>
          <t>DEV-007</t>
        </is>
      </c>
      <c r="P48" s="2">
        <f>IF(O48="",0,SUMPRODUCT(--ISNUMBER(SEARCH(", "&amp;$A$2:$A$245&amp;",",", "&amp;O48&amp;",")),--($L$2:$L$245&lt;&gt;"Done")))</f>
        <v/>
      </c>
      <c r="Q48" s="3" t="inlineStr">
        <is>
          <t>open</t>
        </is>
      </c>
    </row>
    <row r="49">
      <c r="A49" s="2" t="inlineStr">
        <is>
          <t>DEV-010</t>
        </is>
      </c>
      <c r="B49" s="2" t="n">
        <v>71</v>
      </c>
      <c r="C49" s="2" t="inlineStr">
        <is>
          <t>[DEVEX] Add testnet profile and VM deployment</t>
        </is>
      </c>
      <c r="D49" s="2" t="inlineStr">
        <is>
          <t>devex</t>
        </is>
      </c>
      <c r="E49" s="2" t="inlineStr">
        <is>
          <t>[EPIC] M19 · Developer Experience &amp; Quality</t>
        </is>
      </c>
      <c r="F49" s="2" t="inlineStr">
        <is>
          <t>P1</t>
        </is>
      </c>
      <c r="G49" s="2" t="inlineStr">
        <is>
          <t>M1</t>
        </is>
      </c>
      <c r="H49" s="2" t="inlineStr">
        <is>
          <t>M</t>
        </is>
      </c>
      <c r="I49" s="2">
        <f>IF(H49="S",0.5,IF(H49="M",1,IF(H49="L",2,0)))</f>
        <v/>
      </c>
      <c r="J49" s="2" t="inlineStr">
        <is>
          <t>A</t>
        </is>
      </c>
      <c r="K49" s="2" t="inlineStr">
        <is>
          <t>infrastructure</t>
        </is>
      </c>
      <c r="L49" s="2" t="inlineStr">
        <is>
          <t>Assigned</t>
        </is>
      </c>
      <c r="M49" s="2" t="inlineStr">
        <is>
          <t>therealtunguyen</t>
        </is>
      </c>
      <c r="N49" s="2" t="inlineStr">
        <is>
          <t>OPEN</t>
        </is>
      </c>
      <c r="O49" s="2" t="inlineStr">
        <is>
          <t>DEV-002, DOM-001, SC-016</t>
        </is>
      </c>
      <c r="P49" s="2">
        <f>IF(O49="",0,SUMPRODUCT(--ISNUMBER(SEARCH(", "&amp;$A$2:$A$245&amp;",",", "&amp;O49&amp;",")),--($L$2:$L$245&lt;&gt;"Done")))</f>
        <v/>
      </c>
      <c r="Q49" s="3" t="inlineStr">
        <is>
          <t>open</t>
        </is>
      </c>
    </row>
    <row r="50">
      <c r="A50" s="2" t="inlineStr">
        <is>
          <t>DEV-011</t>
        </is>
      </c>
      <c r="B50" s="2" t="n">
        <v>72</v>
      </c>
      <c r="C50" s="2" t="inlineStr">
        <is>
          <t>[DEVEX] Enforce module boundaries with import-linter</t>
        </is>
      </c>
      <c r="D50" s="2" t="inlineStr">
        <is>
          <t>devex</t>
        </is>
      </c>
      <c r="E50" s="2" t="inlineStr">
        <is>
          <t>[EPIC] M19 · Developer Experience &amp; Quality</t>
        </is>
      </c>
      <c r="F50" s="2" t="inlineStr">
        <is>
          <t>P1</t>
        </is>
      </c>
      <c r="G50" s="2" t="inlineStr">
        <is>
          <t>M1</t>
        </is>
      </c>
      <c r="H50" s="2" t="inlineStr">
        <is>
          <t>S</t>
        </is>
      </c>
      <c r="I50" s="2">
        <f>IF(H50="S",0.5,IF(H50="M",1,IF(H50="L",2,0)))</f>
        <v/>
      </c>
      <c r="J50" s="2" t="inlineStr">
        <is>
          <t>After submission</t>
        </is>
      </c>
      <c r="K50" s="2" t="inlineStr">
        <is>
          <t>infrastructure</t>
        </is>
      </c>
      <c r="L50" s="2" t="inlineStr">
        <is>
          <t>Done</t>
        </is>
      </c>
      <c r="M50" s="2" t="inlineStr"/>
      <c r="N50" s="2" t="inlineStr">
        <is>
          <t>CLOSED</t>
        </is>
      </c>
      <c r="O50" s="2" t="inlineStr">
        <is>
          <t>DEV-001</t>
        </is>
      </c>
      <c r="P50" s="2">
        <f>IF(O50="",0,SUMPRODUCT(--ISNUMBER(SEARCH(", "&amp;$A$2:$A$245&amp;",",", "&amp;O50&amp;",")),--($L$2:$L$245&lt;&gt;"Done")))</f>
        <v/>
      </c>
      <c r="Q50" s="3" t="inlineStr">
        <is>
          <t>open</t>
        </is>
      </c>
    </row>
    <row r="51">
      <c r="A51" s="2" t="inlineStr">
        <is>
          <t>DEV-012</t>
        </is>
      </c>
      <c r="B51" s="2" t="n">
        <v>264</v>
      </c>
      <c r="C51" s="2" t="inlineStr">
        <is>
          <t>[DEVEX] Add the deployment config gate to CI</t>
        </is>
      </c>
      <c r="D51" s="2" t="inlineStr">
        <is>
          <t>devex</t>
        </is>
      </c>
      <c r="E51" s="2" t="inlineStr">
        <is>
          <t>[EPIC] M19 · Developer Experience &amp; Quality</t>
        </is>
      </c>
      <c r="F51" s="2" t="inlineStr">
        <is>
          <t>P0</t>
        </is>
      </c>
      <c r="G51" s="2" t="inlineStr">
        <is>
          <t>M1</t>
        </is>
      </c>
      <c r="H51" s="2" t="inlineStr">
        <is>
          <t>S</t>
        </is>
      </c>
      <c r="I51" s="2">
        <f>IF(H51="S",0.5,IF(H51="M",1,IF(H51="L",2,0)))</f>
        <v/>
      </c>
      <c r="J51" s="2" t="inlineStr">
        <is>
          <t>A</t>
        </is>
      </c>
      <c r="K51" s="2" t="inlineStr">
        <is>
          <t>infrastructure</t>
        </is>
      </c>
      <c r="L51" s="2" t="inlineStr">
        <is>
          <t>Assigned</t>
        </is>
      </c>
      <c r="M51" s="2" t="inlineStr">
        <is>
          <t>therealtunguyen</t>
        </is>
      </c>
      <c r="N51" s="2" t="inlineStr">
        <is>
          <t>OPEN</t>
        </is>
      </c>
      <c r="O51" s="2" t="inlineStr">
        <is>
          <t>SC-016, DEV-003</t>
        </is>
      </c>
      <c r="P51" s="2">
        <f>IF(O51="",0,SUMPRODUCT(--ISNUMBER(SEARCH(", "&amp;$A$2:$A$245&amp;",",", "&amp;O51&amp;",")),--($L$2:$L$245&lt;&gt;"Done")))</f>
        <v/>
      </c>
      <c r="Q51" s="3" t="inlineStr">
        <is>
          <t>open</t>
        </is>
      </c>
    </row>
    <row r="52">
      <c r="A52" s="2" t="inlineStr">
        <is>
          <t>DOM-001</t>
        </is>
      </c>
      <c r="B52" s="2" t="n">
        <v>70</v>
      </c>
      <c r="C52" s="2" t="inlineStr">
        <is>
          <t>[DOMAIN] Verify Ethereum Sepolia infrastructure (owner: Phúc)</t>
        </is>
      </c>
      <c r="D52" s="2" t="inlineStr">
        <is>
          <t>domain-evidence</t>
        </is>
      </c>
      <c r="E52" s="2" t="inlineStr">
        <is>
          <t>[EPIC] M20 · Domain &amp; Evidence (non-code)</t>
        </is>
      </c>
      <c r="F52" s="2" t="inlineStr">
        <is>
          <t>P0</t>
        </is>
      </c>
      <c r="G52" s="2" t="inlineStr">
        <is>
          <t>M1</t>
        </is>
      </c>
      <c r="H52" s="2" t="inlineStr">
        <is>
          <t>S</t>
        </is>
      </c>
      <c r="I52" s="2">
        <f>IF(H52="S",0.5,IF(H52="M",1,IF(H52="L",2,0)))</f>
        <v/>
      </c>
      <c r="J52" s="2" t="inlineStr">
        <is>
          <t>A</t>
        </is>
      </c>
      <c r="K52" s="2" t="inlineStr">
        <is>
          <t>non-code</t>
        </is>
      </c>
      <c r="L52" s="2" t="inlineStr">
        <is>
          <t>Ready for Assignment</t>
        </is>
      </c>
      <c r="M52" s="2" t="inlineStr"/>
      <c r="N52" s="2" t="inlineStr">
        <is>
          <t>OPEN</t>
        </is>
      </c>
      <c r="O52" s="2" t="inlineStr"/>
      <c r="P52" s="2">
        <f>IF(O52="",0,SUMPRODUCT(--ISNUMBER(SEARCH(", "&amp;$A$2:$A$245&amp;",",", "&amp;O52&amp;",")),--($L$2:$L$245&lt;&gt;"Done")))</f>
        <v/>
      </c>
      <c r="Q52" s="3" t="inlineStr">
        <is>
          <t>open</t>
        </is>
      </c>
    </row>
    <row r="53">
      <c r="A53" s="2" t="inlineStr">
        <is>
          <t>DOM-002</t>
        </is>
      </c>
      <c r="B53" s="2" t="n">
        <v>230</v>
      </c>
      <c r="C53" s="2" t="inlineStr">
        <is>
          <t>[DOMAIN] Set up tUSDC and the Circle USDC evidence run (owner: Phúc)</t>
        </is>
      </c>
      <c r="D53" s="2" t="inlineStr">
        <is>
          <t>domain-evidence</t>
        </is>
      </c>
      <c r="E53" s="2" t="inlineStr">
        <is>
          <t>[EPIC] M20 · Domain &amp; Evidence (non-code)</t>
        </is>
      </c>
      <c r="F53" s="2" t="inlineStr">
        <is>
          <t>P0</t>
        </is>
      </c>
      <c r="G53" s="2" t="inlineStr">
        <is>
          <t>M1</t>
        </is>
      </c>
      <c r="H53" s="2" t="inlineStr">
        <is>
          <t>S</t>
        </is>
      </c>
      <c r="I53" s="2">
        <f>IF(H53="S",0.5,IF(H53="M",1,IF(H53="L",2,0)))</f>
        <v/>
      </c>
      <c r="J53" s="2" t="inlineStr">
        <is>
          <t>A</t>
        </is>
      </c>
      <c r="K53" s="2" t="inlineStr">
        <is>
          <t>non-code</t>
        </is>
      </c>
      <c r="L53" s="2" t="inlineStr">
        <is>
          <t>Ready for Assignment</t>
        </is>
      </c>
      <c r="M53" s="2" t="inlineStr"/>
      <c r="N53" s="2" t="inlineStr">
        <is>
          <t>OPEN</t>
        </is>
      </c>
      <c r="O53" s="2" t="inlineStr">
        <is>
          <t>DOM-001</t>
        </is>
      </c>
      <c r="P53" s="2">
        <f>IF(O53="",0,SUMPRODUCT(--ISNUMBER(SEARCH(", "&amp;$A$2:$A$245&amp;",",", "&amp;O53&amp;",")),--($L$2:$L$245&lt;&gt;"Done")))</f>
        <v/>
      </c>
      <c r="Q53" s="3" t="inlineStr">
        <is>
          <t>open</t>
        </is>
      </c>
    </row>
    <row r="54">
      <c r="A54" s="2" t="inlineStr">
        <is>
          <t>DOM-003</t>
        </is>
      </c>
      <c r="B54" s="2" t="n">
        <v>231</v>
      </c>
      <c r="C54" s="2" t="inlineStr">
        <is>
          <t>[DOMAIN] Ask the organizers whether testnet evidence is accepted</t>
        </is>
      </c>
      <c r="D54" s="2" t="inlineStr">
        <is>
          <t>domain-evidence</t>
        </is>
      </c>
      <c r="E54" s="2" t="inlineStr">
        <is>
          <t>[EPIC] M20 · Domain &amp; Evidence (non-code)</t>
        </is>
      </c>
      <c r="F54" s="2" t="inlineStr">
        <is>
          <t>P1</t>
        </is>
      </c>
      <c r="G54" s="2" t="inlineStr">
        <is>
          <t>M1</t>
        </is>
      </c>
      <c r="H54" s="2" t="inlineStr">
        <is>
          <t>S</t>
        </is>
      </c>
      <c r="I54" s="2">
        <f>IF(H54="S",0.5,IF(H54="M",1,IF(H54="L",2,0)))</f>
        <v/>
      </c>
      <c r="J54" s="2" t="inlineStr">
        <is>
          <t>A</t>
        </is>
      </c>
      <c r="K54" s="2" t="inlineStr">
        <is>
          <t>non-code</t>
        </is>
      </c>
      <c r="L54" s="2" t="inlineStr">
        <is>
          <t>Ready for Assignment</t>
        </is>
      </c>
      <c r="M54" s="2" t="inlineStr"/>
      <c r="N54" s="2" t="inlineStr">
        <is>
          <t>OPEN</t>
        </is>
      </c>
      <c r="O54" s="2" t="inlineStr"/>
      <c r="P54" s="2">
        <f>IF(O54="",0,SUMPRODUCT(--ISNUMBER(SEARCH(", "&amp;$A$2:$A$245&amp;",",", "&amp;O54&amp;",")),--($L$2:$L$245&lt;&gt;"Done")))</f>
        <v/>
      </c>
      <c r="Q54" s="3" t="inlineStr">
        <is>
          <t>open</t>
        </is>
      </c>
    </row>
    <row r="55">
      <c r="A55" s="2" t="inlineStr">
        <is>
          <t>DOM-004</t>
        </is>
      </c>
      <c r="B55" s="2" t="n">
        <v>175</v>
      </c>
      <c r="C55" s="2" t="inlineStr">
        <is>
          <t>[DOMAIN] Author the labelled invoice dataset (30)</t>
        </is>
      </c>
      <c r="D55" s="2" t="inlineStr">
        <is>
          <t>domain-evidence</t>
        </is>
      </c>
      <c r="E55" s="2" t="inlineStr">
        <is>
          <t>[EPIC] M20 · Domain &amp; Evidence (non-code)</t>
        </is>
      </c>
      <c r="F55" s="2" t="inlineStr">
        <is>
          <t>P0</t>
        </is>
      </c>
      <c r="G55" s="2" t="inlineStr">
        <is>
          <t>M1</t>
        </is>
      </c>
      <c r="H55" s="2" t="inlineStr">
        <is>
          <t>M</t>
        </is>
      </c>
      <c r="I55" s="2">
        <f>IF(H55="S",0.5,IF(H55="M",1,IF(H55="L",2,0)))</f>
        <v/>
      </c>
      <c r="J55" s="2" t="inlineStr">
        <is>
          <t>B</t>
        </is>
      </c>
      <c r="K55" s="2" t="inlineStr">
        <is>
          <t>non-code</t>
        </is>
      </c>
      <c r="L55" s="2" t="inlineStr">
        <is>
          <t>Ready for Assignment</t>
        </is>
      </c>
      <c r="M55" s="2" t="inlineStr"/>
      <c r="N55" s="2" t="inlineStr">
        <is>
          <t>OPEN</t>
        </is>
      </c>
      <c r="O55" s="2" t="inlineStr"/>
      <c r="P55" s="2">
        <f>IF(O55="",0,SUMPRODUCT(--ISNUMBER(SEARCH(", "&amp;$A$2:$A$245&amp;",",", "&amp;O55&amp;",")),--($L$2:$L$245&lt;&gt;"Done")))</f>
        <v/>
      </c>
      <c r="Q55" s="3" t="inlineStr">
        <is>
          <t>open</t>
        </is>
      </c>
    </row>
    <row r="56">
      <c r="A56" s="2" t="inlineStr">
        <is>
          <t>DOM-005</t>
        </is>
      </c>
      <c r="B56" s="2" t="n">
        <v>177</v>
      </c>
      <c r="C56" s="2" t="inlineStr">
        <is>
          <t>[DOMAIN] Author planner scenarios with ground truth (≥30)</t>
        </is>
      </c>
      <c r="D56" s="2" t="inlineStr">
        <is>
          <t>domain-evidence</t>
        </is>
      </c>
      <c r="E56" s="2" t="inlineStr">
        <is>
          <t>[EPIC] M20 · Domain &amp; Evidence (non-code)</t>
        </is>
      </c>
      <c r="F56" s="2" t="inlineStr">
        <is>
          <t>P0</t>
        </is>
      </c>
      <c r="G56" s="2" t="inlineStr">
        <is>
          <t>M1</t>
        </is>
      </c>
      <c r="H56" s="2" t="inlineStr">
        <is>
          <t>L</t>
        </is>
      </c>
      <c r="I56" s="2">
        <f>IF(H56="S",0.5,IF(H56="M",1,IF(H56="L",2,0)))</f>
        <v/>
      </c>
      <c r="J56" s="2" t="inlineStr">
        <is>
          <t>A</t>
        </is>
      </c>
      <c r="K56" s="2" t="inlineStr">
        <is>
          <t>non-code</t>
        </is>
      </c>
      <c r="L56" s="2" t="inlineStr">
        <is>
          <t>Ready for Assignment</t>
        </is>
      </c>
      <c r="M56" s="2" t="inlineStr"/>
      <c r="N56" s="2" t="inlineStr">
        <is>
          <t>OPEN</t>
        </is>
      </c>
      <c r="O56" s="2" t="inlineStr"/>
      <c r="P56" s="2">
        <f>IF(O56="",0,SUMPRODUCT(--ISNUMBER(SEARCH(", "&amp;$A$2:$A$245&amp;",",", "&amp;O56&amp;",")),--($L$2:$L$245&lt;&gt;"Done")))</f>
        <v/>
      </c>
      <c r="Q56" s="3" t="inlineStr">
        <is>
          <t>open</t>
        </is>
      </c>
    </row>
    <row r="57">
      <c r="A57" s="2" t="inlineStr">
        <is>
          <t>DOM-006</t>
        </is>
      </c>
      <c r="B57" s="2" t="n">
        <v>179</v>
      </c>
      <c r="C57" s="2" t="inlineStr">
        <is>
          <t>[DOMAIN] Author the red-team invoice set (20)</t>
        </is>
      </c>
      <c r="D57" s="2" t="inlineStr">
        <is>
          <t>domain-evidence</t>
        </is>
      </c>
      <c r="E57" s="2" t="inlineStr">
        <is>
          <t>[EPIC] M20 · Domain &amp; Evidence (non-code)</t>
        </is>
      </c>
      <c r="F57" s="2" t="inlineStr">
        <is>
          <t>P0</t>
        </is>
      </c>
      <c r="G57" s="2" t="inlineStr">
        <is>
          <t>M1</t>
        </is>
      </c>
      <c r="H57" s="2" t="inlineStr">
        <is>
          <t>M</t>
        </is>
      </c>
      <c r="I57" s="2">
        <f>IF(H57="S",0.5,IF(H57="M",1,IF(H57="L",2,0)))</f>
        <v/>
      </c>
      <c r="J57" s="2" t="inlineStr">
        <is>
          <t>A</t>
        </is>
      </c>
      <c r="K57" s="2" t="inlineStr">
        <is>
          <t>non-code</t>
        </is>
      </c>
      <c r="L57" s="2" t="inlineStr">
        <is>
          <t>Ready for Assignment</t>
        </is>
      </c>
      <c r="M57" s="2" t="inlineStr"/>
      <c r="N57" s="2" t="inlineStr">
        <is>
          <t>OPEN</t>
        </is>
      </c>
      <c r="O57" s="2" t="inlineStr"/>
      <c r="P57" s="2">
        <f>IF(O57="",0,SUMPRODUCT(--ISNUMBER(SEARCH(", "&amp;$A$2:$A$245&amp;",",", "&amp;O57&amp;",")),--($L$2:$L$245&lt;&gt;"Done")))</f>
        <v/>
      </c>
      <c r="Q57" s="3" t="inlineStr">
        <is>
          <t>open</t>
        </is>
      </c>
    </row>
    <row r="58">
      <c r="A58" s="2" t="inlineStr">
        <is>
          <t>DOM-007</t>
        </is>
      </c>
      <c r="B58" s="2" t="n">
        <v>181</v>
      </c>
      <c r="C58" s="2" t="inlineStr">
        <is>
          <t>[DOMAIN] Author Copilot question cases (20)</t>
        </is>
      </c>
      <c r="D58" s="2" t="inlineStr">
        <is>
          <t>domain-evidence</t>
        </is>
      </c>
      <c r="E58" s="2" t="inlineStr">
        <is>
          <t>[EPIC] M20 · Domain &amp; Evidence (non-code)</t>
        </is>
      </c>
      <c r="F58" s="2" t="inlineStr">
        <is>
          <t>P1</t>
        </is>
      </c>
      <c r="G58" s="2" t="inlineStr">
        <is>
          <t>M1</t>
        </is>
      </c>
      <c r="H58" s="2" t="inlineStr">
        <is>
          <t>S</t>
        </is>
      </c>
      <c r="I58" s="2">
        <f>IF(H58="S",0.5,IF(H58="M",1,IF(H58="L",2,0)))</f>
        <v/>
      </c>
      <c r="J58" s="2" t="inlineStr">
        <is>
          <t>After submission</t>
        </is>
      </c>
      <c r="K58" s="2" t="inlineStr">
        <is>
          <t>non-code</t>
        </is>
      </c>
      <c r="L58" s="2" t="inlineStr">
        <is>
          <t>Ready for Assignment</t>
        </is>
      </c>
      <c r="M58" s="2" t="inlineStr"/>
      <c r="N58" s="2" t="inlineStr">
        <is>
          <t>OPEN</t>
        </is>
      </c>
      <c r="O58" s="2" t="inlineStr">
        <is>
          <t>DOM-005</t>
        </is>
      </c>
      <c r="P58" s="2">
        <f>IF(O58="",0,SUMPRODUCT(--ISNUMBER(SEARCH(", "&amp;$A$2:$A$245&amp;",",", "&amp;O58&amp;",")),--($L$2:$L$245&lt;&gt;"Done")))</f>
        <v/>
      </c>
      <c r="Q58" s="3" t="inlineStr">
        <is>
          <t>open</t>
        </is>
      </c>
    </row>
    <row r="59">
      <c r="A59" s="2" t="inlineStr">
        <is>
          <t>DOM-008</t>
        </is>
      </c>
      <c r="B59" s="2" t="n">
        <v>232</v>
      </c>
      <c r="C59" s="2" t="inlineStr">
        <is>
          <t>[DOMAIN] Review business rules and demo limits from a finance view</t>
        </is>
      </c>
      <c r="D59" s="2" t="inlineStr">
        <is>
          <t>domain-evidence</t>
        </is>
      </c>
      <c r="E59" s="2" t="inlineStr">
        <is>
          <t>[EPIC] M20 · Domain &amp; Evidence (non-code)</t>
        </is>
      </c>
      <c r="F59" s="2" t="inlineStr">
        <is>
          <t>P0</t>
        </is>
      </c>
      <c r="G59" s="2" t="inlineStr">
        <is>
          <t>M1</t>
        </is>
      </c>
      <c r="H59" s="2" t="inlineStr">
        <is>
          <t>S</t>
        </is>
      </c>
      <c r="I59" s="2">
        <f>IF(H59="S",0.5,IF(H59="M",1,IF(H59="L",2,0)))</f>
        <v/>
      </c>
      <c r="J59" s="2" t="inlineStr">
        <is>
          <t>A</t>
        </is>
      </c>
      <c r="K59" s="2" t="inlineStr">
        <is>
          <t>non-code</t>
        </is>
      </c>
      <c r="L59" s="2" t="inlineStr">
        <is>
          <t>Ready for Assignment</t>
        </is>
      </c>
      <c r="M59" s="2" t="inlineStr"/>
      <c r="N59" s="2" t="inlineStr">
        <is>
          <t>OPEN</t>
        </is>
      </c>
      <c r="O59" s="2" t="inlineStr"/>
      <c r="P59" s="2">
        <f>IF(O59="",0,SUMPRODUCT(--ISNUMBER(SEARCH(", "&amp;$A$2:$A$245&amp;",",", "&amp;O59&amp;",")),--($L$2:$L$245&lt;&gt;"Done")))</f>
        <v/>
      </c>
      <c r="Q59" s="3" t="inlineStr">
        <is>
          <t>open</t>
        </is>
      </c>
    </row>
    <row r="60">
      <c r="A60" s="2" t="inlineStr">
        <is>
          <t>DOM-009</t>
        </is>
      </c>
      <c r="B60" s="2" t="n">
        <v>233</v>
      </c>
      <c r="C60" s="2" t="inlineStr">
        <is>
          <t>[DOMAIN] Review the threat model and write the known-risk list</t>
        </is>
      </c>
      <c r="D60" s="2" t="inlineStr">
        <is>
          <t>domain-evidence</t>
        </is>
      </c>
      <c r="E60" s="2" t="inlineStr">
        <is>
          <t>[EPIC] M20 · Domain &amp; Evidence (non-code)</t>
        </is>
      </c>
      <c r="F60" s="2" t="inlineStr">
        <is>
          <t>P0</t>
        </is>
      </c>
      <c r="G60" s="2" t="inlineStr">
        <is>
          <t>M1</t>
        </is>
      </c>
      <c r="H60" s="2" t="inlineStr">
        <is>
          <t>M</t>
        </is>
      </c>
      <c r="I60" s="2">
        <f>IF(H60="S",0.5,IF(H60="M",1,IF(H60="L",2,0)))</f>
        <v/>
      </c>
      <c r="J60" s="2" t="inlineStr">
        <is>
          <t>A</t>
        </is>
      </c>
      <c r="K60" s="2" t="inlineStr">
        <is>
          <t>non-code</t>
        </is>
      </c>
      <c r="L60" s="2" t="inlineStr">
        <is>
          <t>Ready for Assignment</t>
        </is>
      </c>
      <c r="M60" s="2" t="inlineStr"/>
      <c r="N60" s="2" t="inlineStr">
        <is>
          <t>OPEN</t>
        </is>
      </c>
      <c r="O60" s="2" t="inlineStr"/>
      <c r="P60" s="2">
        <f>IF(O60="",0,SUMPRODUCT(--ISNUMBER(SEARCH(", "&amp;$A$2:$A$245&amp;",",", "&amp;O60&amp;",")),--($L$2:$L$245&lt;&gt;"Done")))</f>
        <v/>
      </c>
      <c r="Q60" s="3" t="inlineStr">
        <is>
          <t>open</t>
        </is>
      </c>
    </row>
    <row r="61">
      <c r="A61" s="2" t="inlineStr">
        <is>
          <t>DOM-010</t>
        </is>
      </c>
      <c r="B61" s="2" t="n">
        <v>234</v>
      </c>
      <c r="C61" s="2" t="inlineStr">
        <is>
          <t>[DOMAIN] Run customer interviews (2–3)</t>
        </is>
      </c>
      <c r="D61" s="2" t="inlineStr">
        <is>
          <t>domain-evidence</t>
        </is>
      </c>
      <c r="E61" s="2" t="inlineStr">
        <is>
          <t>[EPIC] M20 · Domain &amp; Evidence (non-code)</t>
        </is>
      </c>
      <c r="F61" s="2" t="inlineStr">
        <is>
          <t>P1</t>
        </is>
      </c>
      <c r="G61" s="2" t="inlineStr">
        <is>
          <t>M1</t>
        </is>
      </c>
      <c r="H61" s="2" t="inlineStr">
        <is>
          <t>M</t>
        </is>
      </c>
      <c r="I61" s="2">
        <f>IF(H61="S",0.5,IF(H61="M",1,IF(H61="L",2,0)))</f>
        <v/>
      </c>
      <c r="J61" s="2" t="inlineStr">
        <is>
          <t>B</t>
        </is>
      </c>
      <c r="K61" s="2" t="inlineStr">
        <is>
          <t>non-code</t>
        </is>
      </c>
      <c r="L61" s="2" t="inlineStr">
        <is>
          <t>Ready for Assignment</t>
        </is>
      </c>
      <c r="M61" s="2" t="inlineStr"/>
      <c r="N61" s="2" t="inlineStr">
        <is>
          <t>OPEN</t>
        </is>
      </c>
      <c r="O61" s="2" t="inlineStr"/>
      <c r="P61" s="2">
        <f>IF(O61="",0,SUMPRODUCT(--ISNUMBER(SEARCH(", "&amp;$A$2:$A$245&amp;",",", "&amp;O61&amp;",")),--($L$2:$L$245&lt;&gt;"Done")))</f>
        <v/>
      </c>
      <c r="Q61" s="3" t="inlineStr">
        <is>
          <t>open</t>
        </is>
      </c>
    </row>
    <row r="62">
      <c r="A62" s="2" t="inlineStr">
        <is>
          <t>DOM-011</t>
        </is>
      </c>
      <c r="B62" s="2" t="n">
        <v>235</v>
      </c>
      <c r="C62" s="2" t="inlineStr">
        <is>
          <t>[DOMAIN] Write the security self-assessment report</t>
        </is>
      </c>
      <c r="D62" s="2" t="inlineStr">
        <is>
          <t>domain-evidence</t>
        </is>
      </c>
      <c r="E62" s="2" t="inlineStr">
        <is>
          <t>[EPIC] M20 · Domain &amp; Evidence (non-code)</t>
        </is>
      </c>
      <c r="F62" s="2" t="inlineStr">
        <is>
          <t>P0</t>
        </is>
      </c>
      <c r="G62" s="2" t="inlineStr">
        <is>
          <t>M1</t>
        </is>
      </c>
      <c r="H62" s="2" t="inlineStr">
        <is>
          <t>M</t>
        </is>
      </c>
      <c r="I62" s="2">
        <f>IF(H62="S",0.5,IF(H62="M",1,IF(H62="L",2,0)))</f>
        <v/>
      </c>
      <c r="J62" s="2" t="inlineStr">
        <is>
          <t>A</t>
        </is>
      </c>
      <c r="K62" s="2" t="inlineStr">
        <is>
          <t>non-code</t>
        </is>
      </c>
      <c r="L62" s="2" t="inlineStr">
        <is>
          <t>Ready for Assignment</t>
        </is>
      </c>
      <c r="M62" s="2" t="inlineStr"/>
      <c r="N62" s="2" t="inlineStr">
        <is>
          <t>OPEN</t>
        </is>
      </c>
      <c r="O62" s="2" t="inlineStr">
        <is>
          <t>DOM-009, SC-015</t>
        </is>
      </c>
      <c r="P62" s="2">
        <f>IF(O62="",0,SUMPRODUCT(--ISNUMBER(SEARCH(", "&amp;$A$2:$A$245&amp;",",", "&amp;O62&amp;",")),--($L$2:$L$245&lt;&gt;"Done")))</f>
        <v/>
      </c>
      <c r="Q62" s="3" t="inlineStr">
        <is>
          <t>open</t>
        </is>
      </c>
    </row>
    <row r="63">
      <c r="A63" s="2" t="inlineStr">
        <is>
          <t>DOM-012</t>
        </is>
      </c>
      <c r="B63" s="2" t="n">
        <v>236</v>
      </c>
      <c r="C63" s="2" t="inlineStr">
        <is>
          <t>[DOMAIN] Assemble the technical documentation for submission</t>
        </is>
      </c>
      <c r="D63" s="2" t="inlineStr">
        <is>
          <t>domain-evidence</t>
        </is>
      </c>
      <c r="E63" s="2" t="inlineStr">
        <is>
          <t>[EPIC] M20 · Domain &amp; Evidence (non-code)</t>
        </is>
      </c>
      <c r="F63" s="2" t="inlineStr">
        <is>
          <t>P0</t>
        </is>
      </c>
      <c r="G63" s="2" t="inlineStr">
        <is>
          <t>M1</t>
        </is>
      </c>
      <c r="H63" s="2" t="inlineStr">
        <is>
          <t>M</t>
        </is>
      </c>
      <c r="I63" s="2">
        <f>IF(H63="S",0.5,IF(H63="M",1,IF(H63="L",2,0)))</f>
        <v/>
      </c>
      <c r="J63" s="2" t="inlineStr">
        <is>
          <t>A</t>
        </is>
      </c>
      <c r="K63" s="2" t="inlineStr">
        <is>
          <t>non-code</t>
        </is>
      </c>
      <c r="L63" s="2" t="inlineStr">
        <is>
          <t>Ready for Assignment</t>
        </is>
      </c>
      <c r="M63" s="2" t="inlineStr"/>
      <c r="N63" s="2" t="inlineStr">
        <is>
          <t>OPEN</t>
        </is>
      </c>
      <c r="O63" s="2" t="inlineStr">
        <is>
          <t>DOM-011</t>
        </is>
      </c>
      <c r="P63" s="2">
        <f>IF(O63="",0,SUMPRODUCT(--ISNUMBER(SEARCH(", "&amp;$A$2:$A$245&amp;",",", "&amp;O63&amp;",")),--($L$2:$L$245&lt;&gt;"Done")))</f>
        <v/>
      </c>
      <c r="Q63" s="3" t="inlineStr">
        <is>
          <t>open</t>
        </is>
      </c>
    </row>
    <row r="64">
      <c r="A64" s="2" t="inlineStr">
        <is>
          <t>DOM-013</t>
        </is>
      </c>
      <c r="B64" s="2" t="n">
        <v>237</v>
      </c>
      <c r="C64" s="2" t="inlineStr">
        <is>
          <t>[DOMAIN] Create the 10-minute presentation deck</t>
        </is>
      </c>
      <c r="D64" s="2" t="inlineStr">
        <is>
          <t>domain-evidence</t>
        </is>
      </c>
      <c r="E64" s="2" t="inlineStr">
        <is>
          <t>[EPIC] M20 · Domain &amp; Evidence (non-code)</t>
        </is>
      </c>
      <c r="F64" s="2" t="inlineStr">
        <is>
          <t>P0</t>
        </is>
      </c>
      <c r="G64" s="2" t="inlineStr">
        <is>
          <t>M1</t>
        </is>
      </c>
      <c r="H64" s="2" t="inlineStr">
        <is>
          <t>M</t>
        </is>
      </c>
      <c r="I64" s="2">
        <f>IF(H64="S",0.5,IF(H64="M",1,IF(H64="L",2,0)))</f>
        <v/>
      </c>
      <c r="J64" s="2" t="inlineStr">
        <is>
          <t>A</t>
        </is>
      </c>
      <c r="K64" s="2" t="inlineStr">
        <is>
          <t>non-code</t>
        </is>
      </c>
      <c r="L64" s="2" t="inlineStr">
        <is>
          <t>Ready for Assignment</t>
        </is>
      </c>
      <c r="M64" s="2" t="inlineStr"/>
      <c r="N64" s="2" t="inlineStr">
        <is>
          <t>OPEN</t>
        </is>
      </c>
      <c r="O64" s="2" t="inlineStr">
        <is>
          <t>DOM-008</t>
        </is>
      </c>
      <c r="P64" s="2">
        <f>IF(O64="",0,SUMPRODUCT(--ISNUMBER(SEARCH(", "&amp;$A$2:$A$245&amp;",",", "&amp;O64&amp;",")),--($L$2:$L$245&lt;&gt;"Done")))</f>
        <v/>
      </c>
      <c r="Q64" s="3" t="inlineStr">
        <is>
          <t>open</t>
        </is>
      </c>
    </row>
    <row r="65">
      <c r="A65" s="2" t="inlineStr">
        <is>
          <t>DOM-014</t>
        </is>
      </c>
      <c r="B65" s="2" t="n">
        <v>238</v>
      </c>
      <c r="C65" s="2" t="inlineStr">
        <is>
          <t>[DOMAIN] Script and record the 5-minute demo video</t>
        </is>
      </c>
      <c r="D65" s="2" t="inlineStr">
        <is>
          <t>domain-evidence</t>
        </is>
      </c>
      <c r="E65" s="2" t="inlineStr">
        <is>
          <t>[EPIC] M20 · Domain &amp; Evidence (non-code)</t>
        </is>
      </c>
      <c r="F65" s="2" t="inlineStr">
        <is>
          <t>P0</t>
        </is>
      </c>
      <c r="G65" s="2" t="inlineStr">
        <is>
          <t>M1</t>
        </is>
      </c>
      <c r="H65" s="2" t="inlineStr">
        <is>
          <t>M</t>
        </is>
      </c>
      <c r="I65" s="2">
        <f>IF(H65="S",0.5,IF(H65="M",1,IF(H65="L",2,0)))</f>
        <v/>
      </c>
      <c r="J65" s="2" t="inlineStr">
        <is>
          <t>A</t>
        </is>
      </c>
      <c r="K65" s="2" t="inlineStr">
        <is>
          <t>non-code</t>
        </is>
      </c>
      <c r="L65" s="2" t="inlineStr">
        <is>
          <t>Ready for Assignment</t>
        </is>
      </c>
      <c r="M65" s="2" t="inlineStr"/>
      <c r="N65" s="2" t="inlineStr">
        <is>
          <t>OPEN</t>
        </is>
      </c>
      <c r="O65" s="2" t="inlineStr">
        <is>
          <t>DEV-008</t>
        </is>
      </c>
      <c r="P65" s="2">
        <f>IF(O65="",0,SUMPRODUCT(--ISNUMBER(SEARCH(", "&amp;$A$2:$A$245&amp;",",", "&amp;O65&amp;",")),--($L$2:$L$245&lt;&gt;"Done")))</f>
        <v/>
      </c>
      <c r="Q65" s="3" t="inlineStr">
        <is>
          <t>open</t>
        </is>
      </c>
    </row>
    <row r="66">
      <c r="A66" s="2" t="inlineStr">
        <is>
          <t>DOM-015</t>
        </is>
      </c>
      <c r="B66" s="2" t="n">
        <v>239</v>
      </c>
      <c r="C66" s="2" t="inlineStr">
        <is>
          <t>[DOMAIN] Write the compliance positioning note and license inventory</t>
        </is>
      </c>
      <c r="D66" s="2" t="inlineStr">
        <is>
          <t>domain-evidence</t>
        </is>
      </c>
      <c r="E66" s="2" t="inlineStr">
        <is>
          <t>[EPIC] M20 · Domain &amp; Evidence (non-code)</t>
        </is>
      </c>
      <c r="F66" s="2" t="inlineStr">
        <is>
          <t>P1</t>
        </is>
      </c>
      <c r="G66" s="2" t="inlineStr">
        <is>
          <t>M1</t>
        </is>
      </c>
      <c r="H66" s="2" t="inlineStr">
        <is>
          <t>S</t>
        </is>
      </c>
      <c r="I66" s="2">
        <f>IF(H66="S",0.5,IF(H66="M",1,IF(H66="L",2,0)))</f>
        <v/>
      </c>
      <c r="J66" s="2" t="inlineStr">
        <is>
          <t>B</t>
        </is>
      </c>
      <c r="K66" s="2" t="inlineStr">
        <is>
          <t>non-code</t>
        </is>
      </c>
      <c r="L66" s="2" t="inlineStr">
        <is>
          <t>Ready for Assignment</t>
        </is>
      </c>
      <c r="M66" s="2" t="inlineStr"/>
      <c r="N66" s="2" t="inlineStr">
        <is>
          <t>OPEN</t>
        </is>
      </c>
      <c r="O66" s="2" t="inlineStr"/>
      <c r="P66" s="2">
        <f>IF(O66="",0,SUMPRODUCT(--ISNUMBER(SEARCH(", "&amp;$A$2:$A$245&amp;",",", "&amp;O66&amp;",")),--($L$2:$L$245&lt;&gt;"Done")))</f>
        <v/>
      </c>
      <c r="Q66" s="3" t="inlineStr">
        <is>
          <t>open</t>
        </is>
      </c>
    </row>
    <row r="67">
      <c r="A67" s="2" t="inlineStr">
        <is>
          <t>DOM-016</t>
        </is>
      </c>
      <c r="B67" s="2" t="n">
        <v>240</v>
      </c>
      <c r="C67" s="2" t="inlineStr">
        <is>
          <t>[DOMAIN] Update the FigJam board from the repo diagrams</t>
        </is>
      </c>
      <c r="D67" s="2" t="inlineStr">
        <is>
          <t>domain-evidence</t>
        </is>
      </c>
      <c r="E67" s="2" t="inlineStr">
        <is>
          <t>[EPIC] M20 · Domain &amp; Evidence (non-code)</t>
        </is>
      </c>
      <c r="F67" s="2" t="inlineStr">
        <is>
          <t>P2</t>
        </is>
      </c>
      <c r="G67" s="2" t="inlineStr">
        <is>
          <t>M1</t>
        </is>
      </c>
      <c r="H67" s="2" t="inlineStr">
        <is>
          <t>S</t>
        </is>
      </c>
      <c r="I67" s="2">
        <f>IF(H67="S",0.5,IF(H67="M",1,IF(H67="L",2,0)))</f>
        <v/>
      </c>
      <c r="J67" s="2" t="inlineStr">
        <is>
          <t>After submission</t>
        </is>
      </c>
      <c r="K67" s="2" t="inlineStr">
        <is>
          <t>non-code</t>
        </is>
      </c>
      <c r="L67" s="2" t="inlineStr">
        <is>
          <t>Ready for Assignment</t>
        </is>
      </c>
      <c r="M67" s="2" t="inlineStr"/>
      <c r="N67" s="2" t="inlineStr">
        <is>
          <t>OPEN</t>
        </is>
      </c>
      <c r="O67" s="2" t="inlineStr"/>
      <c r="P67" s="2">
        <f>IF(O67="",0,SUMPRODUCT(--ISNUMBER(SEARCH(", "&amp;$A$2:$A$245&amp;",",", "&amp;O67&amp;",")),--($L$2:$L$245&lt;&gt;"Done")))</f>
        <v/>
      </c>
      <c r="Q67" s="3" t="inlineStr">
        <is>
          <t>open</t>
        </is>
      </c>
    </row>
    <row r="68">
      <c r="A68" s="2" t="inlineStr">
        <is>
          <t>DOM-017</t>
        </is>
      </c>
      <c r="B68" s="2" t="n">
        <v>241</v>
      </c>
      <c r="C68" s="2" t="inlineStr">
        <is>
          <t>[DOMAIN] Choose the repository license</t>
        </is>
      </c>
      <c r="D68" s="2" t="inlineStr">
        <is>
          <t>domain-evidence</t>
        </is>
      </c>
      <c r="E68" s="2" t="inlineStr">
        <is>
          <t>[EPIC] M20 · Domain &amp; Evidence (non-code)</t>
        </is>
      </c>
      <c r="F68" s="2" t="inlineStr">
        <is>
          <t>P1</t>
        </is>
      </c>
      <c r="G68" s="2" t="inlineStr">
        <is>
          <t>M1</t>
        </is>
      </c>
      <c r="H68" s="2" t="inlineStr">
        <is>
          <t>S</t>
        </is>
      </c>
      <c r="I68" s="2">
        <f>IF(H68="S",0.5,IF(H68="M",1,IF(H68="L",2,0)))</f>
        <v/>
      </c>
      <c r="J68" s="2" t="inlineStr">
        <is>
          <t>After submission</t>
        </is>
      </c>
      <c r="K68" s="2" t="inlineStr">
        <is>
          <t>non-code</t>
        </is>
      </c>
      <c r="L68" s="2" t="inlineStr">
        <is>
          <t>Ready for Assignment</t>
        </is>
      </c>
      <c r="M68" s="2" t="inlineStr"/>
      <c r="N68" s="2" t="inlineStr">
        <is>
          <t>OPEN</t>
        </is>
      </c>
      <c r="O68" s="2" t="inlineStr"/>
      <c r="P68" s="2">
        <f>IF(O68="",0,SUMPRODUCT(--ISNUMBER(SEARCH(", "&amp;$A$2:$A$245&amp;",",", "&amp;O68&amp;",")),--($L$2:$L$245&lt;&gt;"Done")))</f>
        <v/>
      </c>
      <c r="Q68" s="3" t="inlineStr">
        <is>
          <t>open</t>
        </is>
      </c>
    </row>
    <row r="69">
      <c r="A69" s="2" t="inlineStr">
        <is>
          <t>ENG-001</t>
        </is>
      </c>
      <c r="B69" s="2" t="n">
        <v>42</v>
      </c>
      <c r="C69" s="2" t="inlineStr">
        <is>
          <t>[ENGINE] Create py-core money types and domain models</t>
        </is>
      </c>
      <c r="D69" s="2" t="inlineStr">
        <is>
          <t>financial-engine</t>
        </is>
      </c>
      <c r="E69" s="2" t="inlineStr">
        <is>
          <t>[EPIC] M07 · Financial Engine (py-core)</t>
        </is>
      </c>
      <c r="F69" s="2" t="inlineStr">
        <is>
          <t>P0</t>
        </is>
      </c>
      <c r="G69" s="2" t="inlineStr">
        <is>
          <t>M1</t>
        </is>
      </c>
      <c r="H69" s="2" t="inlineStr">
        <is>
          <t>M</t>
        </is>
      </c>
      <c r="I69" s="2">
        <f>IF(H69="S",0.5,IF(H69="M",1,IF(H69="L",2,0)))</f>
        <v/>
      </c>
      <c r="J69" s="2" t="inlineStr">
        <is>
          <t>A</t>
        </is>
      </c>
      <c r="K69" s="2" t="inlineStr">
        <is>
          <t>backend</t>
        </is>
      </c>
      <c r="L69" s="2" t="inlineStr">
        <is>
          <t>Assigned</t>
        </is>
      </c>
      <c r="M69" s="2" t="inlineStr">
        <is>
          <t>Nostidus4</t>
        </is>
      </c>
      <c r="N69" s="2" t="inlineStr">
        <is>
          <t>OPEN</t>
        </is>
      </c>
      <c r="O69" s="2" t="inlineStr">
        <is>
          <t>DEV-001</t>
        </is>
      </c>
      <c r="P69" s="2">
        <f>IF(O69="",0,SUMPRODUCT(--ISNUMBER(SEARCH(", "&amp;$A$2:$A$245&amp;",",", "&amp;O69&amp;",")),--($L$2:$L$245&lt;&gt;"Done")))</f>
        <v/>
      </c>
      <c r="Q69" s="3" t="inlineStr">
        <is>
          <t>open</t>
        </is>
      </c>
    </row>
    <row r="70">
      <c r="A70" s="2" t="inlineStr">
        <is>
          <t>ENG-002</t>
        </is>
      </c>
      <c r="B70" s="2" t="n">
        <v>92</v>
      </c>
      <c r="C70" s="2" t="inlineStr">
        <is>
          <t>[ENGINE] Implement the liquidity calculator</t>
        </is>
      </c>
      <c r="D70" s="2" t="inlineStr">
        <is>
          <t>financial-engine</t>
        </is>
      </c>
      <c r="E70" s="2" t="inlineStr">
        <is>
          <t>[EPIC] M07 · Financial Engine (py-core)</t>
        </is>
      </c>
      <c r="F70" s="2" t="inlineStr">
        <is>
          <t>P0</t>
        </is>
      </c>
      <c r="G70" s="2" t="inlineStr">
        <is>
          <t>M1</t>
        </is>
      </c>
      <c r="H70" s="2" t="inlineStr">
        <is>
          <t>M</t>
        </is>
      </c>
      <c r="I70" s="2">
        <f>IF(H70="S",0.5,IF(H70="M",1,IF(H70="L",2,0)))</f>
        <v/>
      </c>
      <c r="J70" s="2" t="inlineStr">
        <is>
          <t>A</t>
        </is>
      </c>
      <c r="K70" s="2" t="inlineStr">
        <is>
          <t>backend</t>
        </is>
      </c>
      <c r="L70" s="2" t="inlineStr">
        <is>
          <t>Assigned</t>
        </is>
      </c>
      <c r="M70" s="2" t="inlineStr">
        <is>
          <t>Nostidus4</t>
        </is>
      </c>
      <c r="N70" s="2" t="inlineStr">
        <is>
          <t>OPEN</t>
        </is>
      </c>
      <c r="O70" s="2" t="inlineStr">
        <is>
          <t>ENG-001</t>
        </is>
      </c>
      <c r="P70" s="2">
        <f>IF(O70="",0,SUMPRODUCT(--ISNUMBER(SEARCH(", "&amp;$A$2:$A$245&amp;",",", "&amp;O70&amp;",")),--($L$2:$L$245&lt;&gt;"Done")))</f>
        <v/>
      </c>
      <c r="Q70" s="3" t="inlineStr">
        <is>
          <t>open</t>
        </is>
      </c>
    </row>
    <row r="71">
      <c r="A71" s="2" t="inlineStr">
        <is>
          <t>ENG-003</t>
        </is>
      </c>
      <c r="B71" s="2" t="n">
        <v>93</v>
      </c>
      <c r="C71" s="2" t="inlineStr">
        <is>
          <t>[ENGINE] Implement the refill decision table</t>
        </is>
      </c>
      <c r="D71" s="2" t="inlineStr">
        <is>
          <t>financial-engine</t>
        </is>
      </c>
      <c r="E71" s="2" t="inlineStr">
        <is>
          <t>[EPIC] M07 · Financial Engine (py-core)</t>
        </is>
      </c>
      <c r="F71" s="2" t="inlineStr">
        <is>
          <t>P0</t>
        </is>
      </c>
      <c r="G71" s="2" t="inlineStr">
        <is>
          <t>M1</t>
        </is>
      </c>
      <c r="H71" s="2" t="inlineStr">
        <is>
          <t>S</t>
        </is>
      </c>
      <c r="I71" s="2">
        <f>IF(H71="S",0.5,IF(H71="M",1,IF(H71="L",2,0)))</f>
        <v/>
      </c>
      <c r="J71" s="2" t="inlineStr">
        <is>
          <t>A</t>
        </is>
      </c>
      <c r="K71" s="2" t="inlineStr">
        <is>
          <t>backend</t>
        </is>
      </c>
      <c r="L71" s="2" t="inlineStr">
        <is>
          <t>Assigned</t>
        </is>
      </c>
      <c r="M71" s="2" t="inlineStr">
        <is>
          <t>Nostidus4</t>
        </is>
      </c>
      <c r="N71" s="2" t="inlineStr">
        <is>
          <t>OPEN</t>
        </is>
      </c>
      <c r="O71" s="2" t="inlineStr">
        <is>
          <t>ENG-002</t>
        </is>
      </c>
      <c r="P71" s="2">
        <f>IF(O71="",0,SUMPRODUCT(--ISNUMBER(SEARCH(", "&amp;$A$2:$A$245&amp;",",", "&amp;O71&amp;",")),--($L$2:$L$245&lt;&gt;"Done")))</f>
        <v/>
      </c>
      <c r="Q71" s="3" t="inlineStr">
        <is>
          <t>open</t>
        </is>
      </c>
    </row>
    <row r="72">
      <c r="A72" s="2" t="inlineStr">
        <is>
          <t>ENG-004</t>
        </is>
      </c>
      <c r="B72" s="2" t="n">
        <v>94</v>
      </c>
      <c r="C72" s="2" t="inlineStr">
        <is>
          <t>[ENGINE] Add property tests for buffer and limit safety</t>
        </is>
      </c>
      <c r="D72" s="2" t="inlineStr">
        <is>
          <t>financial-engine</t>
        </is>
      </c>
      <c r="E72" s="2" t="inlineStr">
        <is>
          <t>[EPIC] M07 · Financial Engine (py-core)</t>
        </is>
      </c>
      <c r="F72" s="2" t="inlineStr">
        <is>
          <t>P0</t>
        </is>
      </c>
      <c r="G72" s="2" t="inlineStr">
        <is>
          <t>M1</t>
        </is>
      </c>
      <c r="H72" s="2" t="inlineStr">
        <is>
          <t>S</t>
        </is>
      </c>
      <c r="I72" s="2">
        <f>IF(H72="S",0.5,IF(H72="M",1,IF(H72="L",2,0)))</f>
        <v/>
      </c>
      <c r="J72" s="2" t="inlineStr">
        <is>
          <t>After submission</t>
        </is>
      </c>
      <c r="K72" s="2" t="inlineStr">
        <is>
          <t>backend</t>
        </is>
      </c>
      <c r="L72" s="2" t="inlineStr">
        <is>
          <t>Assigned</t>
        </is>
      </c>
      <c r="M72" s="2" t="inlineStr">
        <is>
          <t>Nostidus4</t>
        </is>
      </c>
      <c r="N72" s="2" t="inlineStr">
        <is>
          <t>OPEN</t>
        </is>
      </c>
      <c r="O72" s="2" t="inlineStr">
        <is>
          <t>ENG-003</t>
        </is>
      </c>
      <c r="P72" s="2">
        <f>IF(O72="",0,SUMPRODUCT(--ISNUMBER(SEARCH(", "&amp;$A$2:$A$245&amp;",",", "&amp;O72&amp;",")),--($L$2:$L$245&lt;&gt;"Done")))</f>
        <v/>
      </c>
      <c r="Q72" s="3" t="inlineStr">
        <is>
          <t>open</t>
        </is>
      </c>
    </row>
    <row r="73">
      <c r="A73" s="2" t="inlineStr">
        <is>
          <t>ENG-005</t>
        </is>
      </c>
      <c r="B73" s="2" t="n">
        <v>95</v>
      </c>
      <c r="C73" s="2" t="inlineStr">
        <is>
          <t>[ENGINE] Model payment terms and their value function</t>
        </is>
      </c>
      <c r="D73" s="2" t="inlineStr">
        <is>
          <t>financial-engine</t>
        </is>
      </c>
      <c r="E73" s="2" t="inlineStr">
        <is>
          <t>[EPIC] M07 · Financial Engine (py-core)</t>
        </is>
      </c>
      <c r="F73" s="2" t="inlineStr">
        <is>
          <t>P0</t>
        </is>
      </c>
      <c r="G73" s="2" t="inlineStr">
        <is>
          <t>M1</t>
        </is>
      </c>
      <c r="H73" s="2" t="inlineStr">
        <is>
          <t>S</t>
        </is>
      </c>
      <c r="I73" s="2">
        <f>IF(H73="S",0.5,IF(H73="M",1,IF(H73="L",2,0)))</f>
        <v/>
      </c>
      <c r="J73" s="2" t="inlineStr">
        <is>
          <t>A</t>
        </is>
      </c>
      <c r="K73" s="2" t="inlineStr">
        <is>
          <t>backend</t>
        </is>
      </c>
      <c r="L73" s="2" t="inlineStr">
        <is>
          <t>Assigned</t>
        </is>
      </c>
      <c r="M73" s="2" t="inlineStr">
        <is>
          <t>Nostidus4</t>
        </is>
      </c>
      <c r="N73" s="2" t="inlineStr">
        <is>
          <t>OPEN</t>
        </is>
      </c>
      <c r="O73" s="2" t="inlineStr">
        <is>
          <t>ENG-001</t>
        </is>
      </c>
      <c r="P73" s="2">
        <f>IF(O73="",0,SUMPRODUCT(--ISNUMBER(SEARCH(", "&amp;$A$2:$A$245&amp;",",", "&amp;O73&amp;",")),--($L$2:$L$245&lt;&gt;"Done")))</f>
        <v/>
      </c>
      <c r="Q73" s="3" t="inlineStr">
        <is>
          <t>open</t>
        </is>
      </c>
    </row>
    <row r="74">
      <c r="A74" s="2" t="inlineStr">
        <is>
          <t>ENG-006</t>
        </is>
      </c>
      <c r="B74" s="2" t="n">
        <v>96</v>
      </c>
      <c r="C74" s="2" t="inlineStr">
        <is>
          <t>[ENGINE] Implement the baseline scheduler B1 (earliest deadline first)</t>
        </is>
      </c>
      <c r="D74" s="2" t="inlineStr">
        <is>
          <t>financial-engine</t>
        </is>
      </c>
      <c r="E74" s="2" t="inlineStr">
        <is>
          <t>[EPIC] M07 · Financial Engine (py-core)</t>
        </is>
      </c>
      <c r="F74" s="2" t="inlineStr">
        <is>
          <t>P0</t>
        </is>
      </c>
      <c r="G74" s="2" t="inlineStr">
        <is>
          <t>M1</t>
        </is>
      </c>
      <c r="H74" s="2" t="inlineStr">
        <is>
          <t>S</t>
        </is>
      </c>
      <c r="I74" s="2">
        <f>IF(H74="S",0.5,IF(H74="M",1,IF(H74="L",2,0)))</f>
        <v/>
      </c>
      <c r="J74" s="2" t="inlineStr">
        <is>
          <t>A</t>
        </is>
      </c>
      <c r="K74" s="2" t="inlineStr">
        <is>
          <t>backend</t>
        </is>
      </c>
      <c r="L74" s="2" t="inlineStr">
        <is>
          <t>Assigned</t>
        </is>
      </c>
      <c r="M74" s="2" t="inlineStr">
        <is>
          <t>Nostidus4</t>
        </is>
      </c>
      <c r="N74" s="2" t="inlineStr">
        <is>
          <t>OPEN</t>
        </is>
      </c>
      <c r="O74" s="2" t="inlineStr">
        <is>
          <t>ENG-003, ENG-005</t>
        </is>
      </c>
      <c r="P74" s="2">
        <f>IF(O74="",0,SUMPRODUCT(--ISNUMBER(SEARCH(", "&amp;$A$2:$A$245&amp;",",", "&amp;O74&amp;",")),--($L$2:$L$245&lt;&gt;"Done")))</f>
        <v/>
      </c>
      <c r="Q74" s="3" t="inlineStr">
        <is>
          <t>open</t>
        </is>
      </c>
    </row>
    <row r="75">
      <c r="A75" s="2" t="inlineStr">
        <is>
          <t>ENG-007</t>
        </is>
      </c>
      <c r="B75" s="2" t="n">
        <v>97</v>
      </c>
      <c r="C75" s="2" t="inlineStr">
        <is>
          <t>[ENGINE] Implement the terms-aware scheduler with OR-Tools CP-SAT</t>
        </is>
      </c>
      <c r="D75" s="2" t="inlineStr">
        <is>
          <t>financial-engine</t>
        </is>
      </c>
      <c r="E75" s="2" t="inlineStr">
        <is>
          <t>[EPIC] M07 · Financial Engine (py-core)</t>
        </is>
      </c>
      <c r="F75" s="2" t="inlineStr">
        <is>
          <t>P0</t>
        </is>
      </c>
      <c r="G75" s="2" t="inlineStr">
        <is>
          <t>M1</t>
        </is>
      </c>
      <c r="H75" s="2" t="inlineStr">
        <is>
          <t>L</t>
        </is>
      </c>
      <c r="I75" s="2">
        <f>IF(H75="S",0.5,IF(H75="M",1,IF(H75="L",2,0)))</f>
        <v/>
      </c>
      <c r="J75" s="2" t="inlineStr">
        <is>
          <t>A</t>
        </is>
      </c>
      <c r="K75" s="2" t="inlineStr">
        <is>
          <t>backend</t>
        </is>
      </c>
      <c r="L75" s="2" t="inlineStr">
        <is>
          <t>Assigned</t>
        </is>
      </c>
      <c r="M75" s="2" t="inlineStr">
        <is>
          <t>Nostidus4</t>
        </is>
      </c>
      <c r="N75" s="2" t="inlineStr">
        <is>
          <t>OPEN</t>
        </is>
      </c>
      <c r="O75" s="2" t="inlineStr">
        <is>
          <t>ENG-006, ENG-012</t>
        </is>
      </c>
      <c r="P75" s="2">
        <f>IF(O75="",0,SUMPRODUCT(--ISNUMBER(SEARCH(", "&amp;$A$2:$A$245&amp;",",", "&amp;O75&amp;",")),--($L$2:$L$245&lt;&gt;"Done")))</f>
        <v/>
      </c>
      <c r="Q75" s="3" t="inlineStr">
        <is>
          <t>open</t>
        </is>
      </c>
    </row>
    <row r="76">
      <c r="A76" s="2" t="inlineStr">
        <is>
          <t>ENG-008</t>
        </is>
      </c>
      <c r="B76" s="2" t="n">
        <v>98</v>
      </c>
      <c r="C76" s="2" t="inlineStr">
        <is>
          <t>[ENGINE] Expose plan scoring and binding-constraint reporting</t>
        </is>
      </c>
      <c r="D76" s="2" t="inlineStr">
        <is>
          <t>financial-engine</t>
        </is>
      </c>
      <c r="E76" s="2" t="inlineStr">
        <is>
          <t>[EPIC] M07 · Financial Engine (py-core)</t>
        </is>
      </c>
      <c r="F76" s="2" t="inlineStr">
        <is>
          <t>P0</t>
        </is>
      </c>
      <c r="G76" s="2" t="inlineStr">
        <is>
          <t>M1</t>
        </is>
      </c>
      <c r="H76" s="2" t="inlineStr">
        <is>
          <t>S</t>
        </is>
      </c>
      <c r="I76" s="2">
        <f>IF(H76="S",0.5,IF(H76="M",1,IF(H76="L",2,0)))</f>
        <v/>
      </c>
      <c r="J76" s="2" t="inlineStr">
        <is>
          <t>A</t>
        </is>
      </c>
      <c r="K76" s="2" t="inlineStr">
        <is>
          <t>backend</t>
        </is>
      </c>
      <c r="L76" s="2" t="inlineStr">
        <is>
          <t>Assigned</t>
        </is>
      </c>
      <c r="M76" s="2" t="inlineStr">
        <is>
          <t>Nostidus4</t>
        </is>
      </c>
      <c r="N76" s="2" t="inlineStr">
        <is>
          <t>OPEN</t>
        </is>
      </c>
      <c r="O76" s="2" t="inlineStr">
        <is>
          <t>ENG-007</t>
        </is>
      </c>
      <c r="P76" s="2">
        <f>IF(O76="",0,SUMPRODUCT(--ISNUMBER(SEARCH(", "&amp;$A$2:$A$245&amp;",",", "&amp;O76&amp;",")),--($L$2:$L$245&lt;&gt;"Done")))</f>
        <v/>
      </c>
      <c r="Q76" s="3" t="inlineStr">
        <is>
          <t>open</t>
        </is>
      </c>
    </row>
    <row r="77">
      <c r="A77" s="2" t="inlineStr">
        <is>
          <t>ENG-009</t>
        </is>
      </c>
      <c r="B77" s="2" t="n">
        <v>99</v>
      </c>
      <c r="C77" s="2" t="inlineStr">
        <is>
          <t>[ENGINE] Implement invoice fingerprint normalization and hashing</t>
        </is>
      </c>
      <c r="D77" s="2" t="inlineStr">
        <is>
          <t>financial-engine</t>
        </is>
      </c>
      <c r="E77" s="2" t="inlineStr">
        <is>
          <t>[EPIC] M07 · Financial Engine (py-core)</t>
        </is>
      </c>
      <c r="F77" s="2" t="inlineStr">
        <is>
          <t>P0</t>
        </is>
      </c>
      <c r="G77" s="2" t="inlineStr">
        <is>
          <t>M1</t>
        </is>
      </c>
      <c r="H77" s="2" t="inlineStr">
        <is>
          <t>S</t>
        </is>
      </c>
      <c r="I77" s="2">
        <f>IF(H77="S",0.5,IF(H77="M",1,IF(H77="L",2,0)))</f>
        <v/>
      </c>
      <c r="J77" s="2" t="inlineStr">
        <is>
          <t>A</t>
        </is>
      </c>
      <c r="K77" s="2" t="inlineStr">
        <is>
          <t>backend</t>
        </is>
      </c>
      <c r="L77" s="2" t="inlineStr">
        <is>
          <t>Assigned</t>
        </is>
      </c>
      <c r="M77" s="2" t="inlineStr">
        <is>
          <t>Nostidus4</t>
        </is>
      </c>
      <c r="N77" s="2" t="inlineStr">
        <is>
          <t>OPEN</t>
        </is>
      </c>
      <c r="O77" s="2" t="inlineStr">
        <is>
          <t>ENG-001</t>
        </is>
      </c>
      <c r="P77" s="2">
        <f>IF(O77="",0,SUMPRODUCT(--ISNUMBER(SEARCH(", "&amp;$A$2:$A$245&amp;",",", "&amp;O77&amp;",")),--($L$2:$L$245&lt;&gt;"Done")))</f>
        <v/>
      </c>
      <c r="Q77" s="3" t="inlineStr">
        <is>
          <t>open</t>
        </is>
      </c>
    </row>
    <row r="78">
      <c r="A78" s="2" t="inlineStr">
        <is>
          <t>ENG-010</t>
        </is>
      </c>
      <c r="B78" s="2" t="n">
        <v>57</v>
      </c>
      <c r="C78" s="2" t="inlineStr">
        <is>
          <t>[ENGINE] Build EIP-712 typed data for payment approvals and attestations</t>
        </is>
      </c>
      <c r="D78" s="2" t="inlineStr">
        <is>
          <t>financial-engine</t>
        </is>
      </c>
      <c r="E78" s="2" t="inlineStr">
        <is>
          <t>[EPIC] M07 · Financial Engine (py-core)</t>
        </is>
      </c>
      <c r="F78" s="2" t="inlineStr">
        <is>
          <t>P0</t>
        </is>
      </c>
      <c r="G78" s="2" t="inlineStr">
        <is>
          <t>M1</t>
        </is>
      </c>
      <c r="H78" s="2" t="inlineStr">
        <is>
          <t>M</t>
        </is>
      </c>
      <c r="I78" s="2">
        <f>IF(H78="S",0.5,IF(H78="M",1,IF(H78="L",2,0)))</f>
        <v/>
      </c>
      <c r="J78" s="2" t="inlineStr">
        <is>
          <t>A</t>
        </is>
      </c>
      <c r="K78" s="2" t="inlineStr">
        <is>
          <t>backend</t>
        </is>
      </c>
      <c r="L78" s="2" t="inlineStr">
        <is>
          <t>Assigned</t>
        </is>
      </c>
      <c r="M78" s="2" t="inlineStr">
        <is>
          <t>Nostidus4</t>
        </is>
      </c>
      <c r="N78" s="2" t="inlineStr">
        <is>
          <t>OPEN</t>
        </is>
      </c>
      <c r="O78" s="2" t="inlineStr">
        <is>
          <t>SC-017, ENG-001</t>
        </is>
      </c>
      <c r="P78" s="2">
        <f>IF(O78="",0,SUMPRODUCT(--ISNUMBER(SEARCH(", "&amp;$A$2:$A$245&amp;",",", "&amp;O78&amp;",")),--($L$2:$L$245&lt;&gt;"Done")))</f>
        <v/>
      </c>
      <c r="Q78" s="3" t="inlineStr">
        <is>
          <t>open</t>
        </is>
      </c>
    </row>
    <row r="79">
      <c r="A79" s="2" t="inlineStr">
        <is>
          <t>ENG-011</t>
        </is>
      </c>
      <c r="B79" s="2" t="n">
        <v>100</v>
      </c>
      <c r="C79" s="2" t="inlineStr">
        <is>
          <t>[ENGINE] Implement the 7-day liquidity forecast</t>
        </is>
      </c>
      <c r="D79" s="2" t="inlineStr">
        <is>
          <t>financial-engine</t>
        </is>
      </c>
      <c r="E79" s="2" t="inlineStr">
        <is>
          <t>[EPIC] M07 · Financial Engine (py-core)</t>
        </is>
      </c>
      <c r="F79" s="2" t="inlineStr">
        <is>
          <t>P2</t>
        </is>
      </c>
      <c r="G79" s="2" t="inlineStr">
        <is>
          <t>M1</t>
        </is>
      </c>
      <c r="H79" s="2" t="inlineStr">
        <is>
          <t>S</t>
        </is>
      </c>
      <c r="I79" s="2">
        <f>IF(H79="S",0.5,IF(H79="M",1,IF(H79="L",2,0)))</f>
        <v/>
      </c>
      <c r="J79" s="2" t="inlineStr">
        <is>
          <t>After submission</t>
        </is>
      </c>
      <c r="K79" s="2" t="inlineStr">
        <is>
          <t>backend</t>
        </is>
      </c>
      <c r="L79" s="2" t="inlineStr">
        <is>
          <t>Assigned</t>
        </is>
      </c>
      <c r="M79" s="2" t="inlineStr">
        <is>
          <t>Nostidus4</t>
        </is>
      </c>
      <c r="N79" s="2" t="inlineStr">
        <is>
          <t>OPEN</t>
        </is>
      </c>
      <c r="O79" s="2" t="inlineStr">
        <is>
          <t>ENG-003</t>
        </is>
      </c>
      <c r="P79" s="2">
        <f>IF(O79="",0,SUMPRODUCT(--ISNUMBER(SEARCH(", "&amp;$A$2:$A$245&amp;",",", "&amp;O79&amp;",")),--($L$2:$L$245&lt;&gt;"Done")))</f>
        <v/>
      </c>
      <c r="Q79" s="3" t="inlineStr">
        <is>
          <t>open</t>
        </is>
      </c>
    </row>
    <row r="80">
      <c r="A80" s="2" t="inlineStr">
        <is>
          <t>ENG-012</t>
        </is>
      </c>
      <c r="B80" s="2" t="n">
        <v>243</v>
      </c>
      <c r="C80" s="2" t="inlineStr">
        <is>
          <t>[ENGINE] Implement the exhaustive oracle scheduler for tests</t>
        </is>
      </c>
      <c r="D80" s="2" t="inlineStr">
        <is>
          <t>financial-engine</t>
        </is>
      </c>
      <c r="E80" s="2" t="inlineStr">
        <is>
          <t>[EPIC] M07 · Financial Engine (py-core)</t>
        </is>
      </c>
      <c r="F80" s="2" t="inlineStr">
        <is>
          <t>P0</t>
        </is>
      </c>
      <c r="G80" s="2" t="inlineStr">
        <is>
          <t>M1</t>
        </is>
      </c>
      <c r="H80" s="2" t="inlineStr">
        <is>
          <t>S</t>
        </is>
      </c>
      <c r="I80" s="2">
        <f>IF(H80="S",0.5,IF(H80="M",1,IF(H80="L",2,0)))</f>
        <v/>
      </c>
      <c r="J80" s="2" t="inlineStr">
        <is>
          <t>A</t>
        </is>
      </c>
      <c r="K80" s="2" t="inlineStr">
        <is>
          <t>backend</t>
        </is>
      </c>
      <c r="L80" s="2" t="inlineStr">
        <is>
          <t>Assigned</t>
        </is>
      </c>
      <c r="M80" s="2" t="inlineStr">
        <is>
          <t>Nostidus4</t>
        </is>
      </c>
      <c r="N80" s="2" t="inlineStr">
        <is>
          <t>OPEN</t>
        </is>
      </c>
      <c r="O80" s="2" t="inlineStr">
        <is>
          <t>ENG-006</t>
        </is>
      </c>
      <c r="P80" s="2">
        <f>IF(O80="",0,SUMPRODUCT(--ISNUMBER(SEARCH(", "&amp;$A$2:$A$245&amp;",",", "&amp;O80&amp;",")),--($L$2:$L$245&lt;&gt;"Done")))</f>
        <v/>
      </c>
      <c r="Q80" s="3" t="inlineStr">
        <is>
          <t>open</t>
        </is>
      </c>
    </row>
    <row r="81">
      <c r="A81" s="2" t="inlineStr">
        <is>
          <t>ENG-013</t>
        </is>
      </c>
      <c r="B81" s="2" t="n">
        <v>259</v>
      </c>
      <c r="C81" s="2" t="inlineStr">
        <is>
          <t>[ENGINE] Implement reserve formulas and the liquidity decision</t>
        </is>
      </c>
      <c r="D81" s="2" t="inlineStr">
        <is>
          <t>financial-engine</t>
        </is>
      </c>
      <c r="E81" s="2" t="inlineStr">
        <is>
          <t>[EPIC] M07 · Financial Engine (py-core)</t>
        </is>
      </c>
      <c r="F81" s="2" t="inlineStr">
        <is>
          <t>P0</t>
        </is>
      </c>
      <c r="G81" s="2" t="inlineStr">
        <is>
          <t>M1</t>
        </is>
      </c>
      <c r="H81" s="2" t="inlineStr">
        <is>
          <t>S</t>
        </is>
      </c>
      <c r="I81" s="2">
        <f>IF(H81="S",0.5,IF(H81="M",1,IF(H81="L",2,0)))</f>
        <v/>
      </c>
      <c r="J81" s="2" t="inlineStr">
        <is>
          <t>A</t>
        </is>
      </c>
      <c r="K81" s="2" t="inlineStr">
        <is>
          <t>backend</t>
        </is>
      </c>
      <c r="L81" s="2" t="inlineStr">
        <is>
          <t>Assigned</t>
        </is>
      </c>
      <c r="M81" s="2" t="inlineStr">
        <is>
          <t>Nostidus4</t>
        </is>
      </c>
      <c r="N81" s="2" t="inlineStr">
        <is>
          <t>OPEN</t>
        </is>
      </c>
      <c r="O81" s="2" t="inlineStr">
        <is>
          <t>ENG-002, ENG-005</t>
        </is>
      </c>
      <c r="P81" s="2">
        <f>IF(O81="",0,SUMPRODUCT(--ISNUMBER(SEARCH(", "&amp;$A$2:$A$245&amp;",",", "&amp;O81&amp;",")),--($L$2:$L$245&lt;&gt;"Done")))</f>
        <v/>
      </c>
      <c r="Q81" s="3" t="inlineStr">
        <is>
          <t>open</t>
        </is>
      </c>
    </row>
    <row r="82">
      <c r="A82" s="2" t="inlineStr">
        <is>
          <t>ENG-014</t>
        </is>
      </c>
      <c r="B82" s="2" t="n">
        <v>260</v>
      </c>
      <c r="C82" s="2" t="inlineStr">
        <is>
          <t>[ENGINE] Build the borrow proposal</t>
        </is>
      </c>
      <c r="D82" s="2" t="inlineStr">
        <is>
          <t>financial-engine</t>
        </is>
      </c>
      <c r="E82" s="2" t="inlineStr">
        <is>
          <t>[EPIC] M07 · Financial Engine (py-core)</t>
        </is>
      </c>
      <c r="F82" s="2" t="inlineStr">
        <is>
          <t>P1</t>
        </is>
      </c>
      <c r="G82" s="2" t="inlineStr">
        <is>
          <t>M1</t>
        </is>
      </c>
      <c r="H82" s="2" t="inlineStr">
        <is>
          <t>S</t>
        </is>
      </c>
      <c r="I82" s="2">
        <f>IF(H82="S",0.5,IF(H82="M",1,IF(H82="L",2,0)))</f>
        <v/>
      </c>
      <c r="J82" s="2" t="inlineStr">
        <is>
          <t>B</t>
        </is>
      </c>
      <c r="K82" s="2" t="inlineStr">
        <is>
          <t>backend</t>
        </is>
      </c>
      <c r="L82" s="2" t="inlineStr">
        <is>
          <t>Assigned</t>
        </is>
      </c>
      <c r="M82" s="2" t="inlineStr">
        <is>
          <t>Nostidus4</t>
        </is>
      </c>
      <c r="N82" s="2" t="inlineStr">
        <is>
          <t>OPEN</t>
        </is>
      </c>
      <c r="O82" s="2" t="inlineStr">
        <is>
          <t>ENG-013</t>
        </is>
      </c>
      <c r="P82" s="2">
        <f>IF(O82="",0,SUMPRODUCT(--ISNUMBER(SEARCH(", "&amp;$A$2:$A$245&amp;",",", "&amp;O82&amp;",")),--($L$2:$L$245&lt;&gt;"Done")))</f>
        <v/>
      </c>
      <c r="Q82" s="3" t="inlineStr">
        <is>
          <t>open</t>
        </is>
      </c>
    </row>
    <row r="83">
      <c r="A83" s="2" t="inlineStr">
        <is>
          <t>ENG-L01</t>
        </is>
      </c>
      <c r="B83" s="2" t="n">
        <v>101</v>
      </c>
      <c r="C83" s="2" t="inlineStr">
        <is>
          <t>[ENGINE] Plan refills from other operational wallets</t>
        </is>
      </c>
      <c r="D83" s="2" t="inlineStr">
        <is>
          <t>financial-engine</t>
        </is>
      </c>
      <c r="E83" s="2" t="inlineStr">
        <is>
          <t>[EPIC] M07 · Financial Engine (py-core)</t>
        </is>
      </c>
      <c r="F83" s="2" t="inlineStr">
        <is>
          <t>—</t>
        </is>
      </c>
      <c r="G83" s="2" t="inlineStr">
        <is>
          <t>Later</t>
        </is>
      </c>
      <c r="H83" s="2" t="inlineStr">
        <is>
          <t>M</t>
        </is>
      </c>
      <c r="I83" s="2">
        <f>IF(H83="S",0.5,IF(H83="M",1,IF(H83="L",2,0)))</f>
        <v/>
      </c>
      <c r="J83" s="2" t="inlineStr">
        <is>
          <t>Later</t>
        </is>
      </c>
      <c r="K83" s="2" t="inlineStr">
        <is>
          <t>backend</t>
        </is>
      </c>
      <c r="L83" s="2" t="inlineStr">
        <is>
          <t>Accepted</t>
        </is>
      </c>
      <c r="M83" s="2" t="inlineStr"/>
      <c r="N83" s="2" t="inlineStr">
        <is>
          <t>OPEN</t>
        </is>
      </c>
      <c r="O83" s="2" t="inlineStr">
        <is>
          <t>ENG-007, SC-L06</t>
        </is>
      </c>
      <c r="P83" s="2">
        <f>IF(O83="",0,SUMPRODUCT(--ISNUMBER(SEARCH(", "&amp;$A$2:$A$245&amp;",",", "&amp;O83&amp;",")),--($L$2:$L$245&lt;&gt;"Done")))</f>
        <v/>
      </c>
      <c r="Q83" s="3" t="inlineStr">
        <is>
          <t>open</t>
        </is>
      </c>
    </row>
    <row r="84">
      <c r="A84" s="2" t="inlineStr">
        <is>
          <t>ENG-L02</t>
        </is>
      </c>
      <c r="B84" s="2" t="n">
        <v>102</v>
      </c>
      <c r="C84" s="2" t="inlineStr">
        <is>
          <t>[ENGINE] Add FX conversion and depeg checks for fiat invoices</t>
        </is>
      </c>
      <c r="D84" s="2" t="inlineStr">
        <is>
          <t>financial-engine</t>
        </is>
      </c>
      <c r="E84" s="2" t="inlineStr">
        <is>
          <t>[EPIC] M07 · Financial Engine (py-core)</t>
        </is>
      </c>
      <c r="F84" s="2" t="inlineStr">
        <is>
          <t>—</t>
        </is>
      </c>
      <c r="G84" s="2" t="inlineStr">
        <is>
          <t>Later</t>
        </is>
      </c>
      <c r="H84" s="2" t="inlineStr">
        <is>
          <t>M</t>
        </is>
      </c>
      <c r="I84" s="2">
        <f>IF(H84="S",0.5,IF(H84="M",1,IF(H84="L",2,0)))</f>
        <v/>
      </c>
      <c r="J84" s="2" t="inlineStr">
        <is>
          <t>Later</t>
        </is>
      </c>
      <c r="K84" s="2" t="inlineStr">
        <is>
          <t>backend</t>
        </is>
      </c>
      <c r="L84" s="2" t="inlineStr">
        <is>
          <t>Accepted</t>
        </is>
      </c>
      <c r="M84" s="2" t="inlineStr"/>
      <c r="N84" s="2" t="inlineStr">
        <is>
          <t>OPEN</t>
        </is>
      </c>
      <c r="O84" s="2" t="inlineStr">
        <is>
          <t>ENG-005</t>
        </is>
      </c>
      <c r="P84" s="2">
        <f>IF(O84="",0,SUMPRODUCT(--ISNUMBER(SEARCH(", "&amp;$A$2:$A$245&amp;",",", "&amp;O84&amp;",")),--($L$2:$L$245&lt;&gt;"Done")))</f>
        <v/>
      </c>
      <c r="Q84" s="3" t="inlineStr">
        <is>
          <t>open</t>
        </is>
      </c>
    </row>
    <row r="85">
      <c r="A85" s="2" t="inlineStr">
        <is>
          <t>ENG-L03</t>
        </is>
      </c>
      <c r="B85" s="2" t="n">
        <v>103</v>
      </c>
      <c r="C85" s="2" t="inlineStr">
        <is>
          <t>[ENGINE] Extend the scheduler to multiple assets</t>
        </is>
      </c>
      <c r="D85" s="2" t="inlineStr">
        <is>
          <t>financial-engine</t>
        </is>
      </c>
      <c r="E85" s="2" t="inlineStr">
        <is>
          <t>[EPIC] M07 · Financial Engine (py-core)</t>
        </is>
      </c>
      <c r="F85" s="2" t="inlineStr">
        <is>
          <t>—</t>
        </is>
      </c>
      <c r="G85" s="2" t="inlineStr">
        <is>
          <t>Later</t>
        </is>
      </c>
      <c r="H85" s="2" t="inlineStr">
        <is>
          <t>M</t>
        </is>
      </c>
      <c r="I85" s="2">
        <f>IF(H85="S",0.5,IF(H85="M",1,IF(H85="L",2,0)))</f>
        <v/>
      </c>
      <c r="J85" s="2" t="inlineStr">
        <is>
          <t>Later</t>
        </is>
      </c>
      <c r="K85" s="2" t="inlineStr">
        <is>
          <t>backend</t>
        </is>
      </c>
      <c r="L85" s="2" t="inlineStr">
        <is>
          <t>Accepted</t>
        </is>
      </c>
      <c r="M85" s="2" t="inlineStr"/>
      <c r="N85" s="2" t="inlineStr">
        <is>
          <t>OPEN</t>
        </is>
      </c>
      <c r="O85" s="2" t="inlineStr">
        <is>
          <t>ENG-007</t>
        </is>
      </c>
      <c r="P85" s="2">
        <f>IF(O85="",0,SUMPRODUCT(--ISNUMBER(SEARCH(", "&amp;$A$2:$A$245&amp;",",", "&amp;O85&amp;",")),--($L$2:$L$245&lt;&gt;"Done")))</f>
        <v/>
      </c>
      <c r="Q85" s="3" t="inlineStr">
        <is>
          <t>open</t>
        </is>
      </c>
    </row>
    <row r="86">
      <c r="A86" s="2" t="inlineStr">
        <is>
          <t>EXE-001</t>
        </is>
      </c>
      <c r="B86" s="2" t="n">
        <v>46</v>
      </c>
      <c r="C86" s="2" t="inlineStr">
        <is>
          <t>[EXECUTION] Create operations (outbox), transactions and gas ledger schema</t>
        </is>
      </c>
      <c r="D86" s="2" t="inlineStr">
        <is>
          <t>execution</t>
        </is>
      </c>
      <c r="E86" s="2" t="inlineStr">
        <is>
          <t>[EPIC] M10 · Orchestration &amp; Execution</t>
        </is>
      </c>
      <c r="F86" s="2" t="inlineStr">
        <is>
          <t>P0</t>
        </is>
      </c>
      <c r="G86" s="2" t="inlineStr">
        <is>
          <t>M1</t>
        </is>
      </c>
      <c r="H86" s="2" t="inlineStr">
        <is>
          <t>S</t>
        </is>
      </c>
      <c r="I86" s="2">
        <f>IF(H86="S",0.5,IF(H86="M",1,IF(H86="L",2,0)))</f>
        <v/>
      </c>
      <c r="J86" s="2" t="inlineStr">
        <is>
          <t>A</t>
        </is>
      </c>
      <c r="K86" s="2" t="inlineStr">
        <is>
          <t>backend</t>
        </is>
      </c>
      <c r="L86" s="2" t="inlineStr">
        <is>
          <t>Assigned</t>
        </is>
      </c>
      <c r="M86" s="2" t="inlineStr">
        <is>
          <t>Nostidus4</t>
        </is>
      </c>
      <c r="N86" s="2" t="inlineStr">
        <is>
          <t>OPEN</t>
        </is>
      </c>
      <c r="O86" s="2" t="inlineStr">
        <is>
          <t>INV-001</t>
        </is>
      </c>
      <c r="P86" s="2">
        <f>IF(O86="",0,SUMPRODUCT(--ISNUMBER(SEARCH(", "&amp;$A$2:$A$245&amp;",",", "&amp;O86&amp;",")),--($L$2:$L$245&lt;&gt;"Done")))</f>
        <v/>
      </c>
      <c r="Q86" s="3" t="inlineStr">
        <is>
          <t>open</t>
        </is>
      </c>
    </row>
    <row r="87">
      <c r="A87" s="2" t="inlineStr">
        <is>
          <t>EXE-002</t>
        </is>
      </c>
      <c r="B87" s="2" t="n">
        <v>131</v>
      </c>
      <c r="C87" s="2" t="inlineStr">
        <is>
          <t>[EXECUTION] Set up Celery with core and ai queues</t>
        </is>
      </c>
      <c r="D87" s="2" t="inlineStr">
        <is>
          <t>execution</t>
        </is>
      </c>
      <c r="E87" s="2" t="inlineStr">
        <is>
          <t>[EPIC] M10 · Orchestration &amp; Execution</t>
        </is>
      </c>
      <c r="F87" s="2" t="inlineStr">
        <is>
          <t>P0</t>
        </is>
      </c>
      <c r="G87" s="2" t="inlineStr">
        <is>
          <t>M1</t>
        </is>
      </c>
      <c r="H87" s="2" t="inlineStr">
        <is>
          <t>M</t>
        </is>
      </c>
      <c r="I87" s="2">
        <f>IF(H87="S",0.5,IF(H87="M",1,IF(H87="L",2,0)))</f>
        <v/>
      </c>
      <c r="J87" s="2" t="inlineStr">
        <is>
          <t>A</t>
        </is>
      </c>
      <c r="K87" s="2" t="inlineStr">
        <is>
          <t>backend</t>
        </is>
      </c>
      <c r="L87" s="2" t="inlineStr">
        <is>
          <t>Assigned</t>
        </is>
      </c>
      <c r="M87" s="2" t="inlineStr">
        <is>
          <t>Nostidus4</t>
        </is>
      </c>
      <c r="N87" s="2" t="inlineStr">
        <is>
          <t>OPEN</t>
        </is>
      </c>
      <c r="O87" s="2" t="inlineStr">
        <is>
          <t>DEV-002</t>
        </is>
      </c>
      <c r="P87" s="2">
        <f>IF(O87="",0,SUMPRODUCT(--ISNUMBER(SEARCH(", "&amp;$A$2:$A$245&amp;",",", "&amp;O87&amp;",")),--($L$2:$L$245&lt;&gt;"Done")))</f>
        <v/>
      </c>
      <c r="Q87" s="3" t="inlineStr">
        <is>
          <t>open</t>
        </is>
      </c>
    </row>
    <row r="88">
      <c r="A88" s="2" t="inlineStr">
        <is>
          <t>EXE-003</t>
        </is>
      </c>
      <c r="B88" s="2" t="n">
        <v>142</v>
      </c>
      <c r="C88" s="2" t="inlineStr">
        <is>
          <t>[EXECUTION] Implement the deadline trigger</t>
        </is>
      </c>
      <c r="D88" s="2" t="inlineStr">
        <is>
          <t>execution</t>
        </is>
      </c>
      <c r="E88" s="2" t="inlineStr">
        <is>
          <t>[EPIC] M10 · Orchestration &amp; Execution</t>
        </is>
      </c>
      <c r="F88" s="2" t="inlineStr">
        <is>
          <t>P0</t>
        </is>
      </c>
      <c r="G88" s="2" t="inlineStr">
        <is>
          <t>M1</t>
        </is>
      </c>
      <c r="H88" s="2" t="inlineStr">
        <is>
          <t>M</t>
        </is>
      </c>
      <c r="I88" s="2">
        <f>IF(H88="S",0.5,IF(H88="M",1,IF(H88="L",2,0)))</f>
        <v/>
      </c>
      <c r="J88" s="2" t="inlineStr">
        <is>
          <t>A</t>
        </is>
      </c>
      <c r="K88" s="2" t="inlineStr">
        <is>
          <t>backend</t>
        </is>
      </c>
      <c r="L88" s="2" t="inlineStr">
        <is>
          <t>Assigned</t>
        </is>
      </c>
      <c r="M88" s="2" t="inlineStr">
        <is>
          <t>Nostidus4</t>
        </is>
      </c>
      <c r="N88" s="2" t="inlineStr">
        <is>
          <t>OPEN</t>
        </is>
      </c>
      <c r="O88" s="2" t="inlineStr">
        <is>
          <t>EXE-002, INV-010, MDT-007, TRS-007</t>
        </is>
      </c>
      <c r="P88" s="2">
        <f>IF(O88="",0,SUMPRODUCT(--ISNUMBER(SEARCH(", "&amp;$A$2:$A$245&amp;",",", "&amp;O88&amp;",")),--($L$2:$L$245&lt;&gt;"Done")))</f>
        <v/>
      </c>
      <c r="Q88" s="3" t="inlineStr">
        <is>
          <t>open</t>
        </is>
      </c>
    </row>
    <row r="89">
      <c r="A89" s="2" t="inlineStr">
        <is>
          <t>EXE-004</t>
        </is>
      </c>
      <c r="B89" s="2" t="n">
        <v>146</v>
      </c>
      <c r="C89" s="2" t="inlineStr">
        <is>
          <t>[EXECUTION] Implement the planning pipeline task</t>
        </is>
      </c>
      <c r="D89" s="2" t="inlineStr">
        <is>
          <t>execution</t>
        </is>
      </c>
      <c r="E89" s="2" t="inlineStr">
        <is>
          <t>[EPIC] M10 · Orchestration &amp; Execution</t>
        </is>
      </c>
      <c r="F89" s="2" t="inlineStr">
        <is>
          <t>P0</t>
        </is>
      </c>
      <c r="G89" s="2" t="inlineStr">
        <is>
          <t>M1</t>
        </is>
      </c>
      <c r="H89" s="2" t="inlineStr">
        <is>
          <t>L</t>
        </is>
      </c>
      <c r="I89" s="2">
        <f>IF(H89="S",0.5,IF(H89="M",1,IF(H89="L",2,0)))</f>
        <v/>
      </c>
      <c r="J89" s="2" t="inlineStr">
        <is>
          <t>A</t>
        </is>
      </c>
      <c r="K89" s="2" t="inlineStr">
        <is>
          <t>backend</t>
        </is>
      </c>
      <c r="L89" s="2" t="inlineStr">
        <is>
          <t>Assigned</t>
        </is>
      </c>
      <c r="M89" s="2" t="inlineStr">
        <is>
          <t>Nostidus4</t>
        </is>
      </c>
      <c r="N89" s="2" t="inlineStr">
        <is>
          <t>OPEN</t>
        </is>
      </c>
      <c r="O89" s="2" t="inlineStr">
        <is>
          <t>EXE-003, CHR-002, ENG-008, POL-006, AGT-009, EXE-012</t>
        </is>
      </c>
      <c r="P89" s="2">
        <f>IF(O89="",0,SUMPRODUCT(--ISNUMBER(SEARCH(", "&amp;$A$2:$A$245&amp;",",", "&amp;O89&amp;",")),--($L$2:$L$245&lt;&gt;"Done")))</f>
        <v/>
      </c>
      <c r="Q89" s="3" t="inlineStr">
        <is>
          <t>open</t>
        </is>
      </c>
    </row>
    <row r="90">
      <c r="A90" s="2" t="inlineStr">
        <is>
          <t>EXE-005</t>
        </is>
      </c>
      <c r="B90" s="2" t="n">
        <v>60</v>
      </c>
      <c r="C90" s="2" t="inlineStr">
        <is>
          <t>[EXECUTION] Build the signer service</t>
        </is>
      </c>
      <c r="D90" s="2" t="inlineStr">
        <is>
          <t>execution</t>
        </is>
      </c>
      <c r="E90" s="2" t="inlineStr">
        <is>
          <t>[EPIC] M10 · Orchestration &amp; Execution</t>
        </is>
      </c>
      <c r="F90" s="2" t="inlineStr">
        <is>
          <t>P0</t>
        </is>
      </c>
      <c r="G90" s="2" t="inlineStr">
        <is>
          <t>M1</t>
        </is>
      </c>
      <c r="H90" s="2" t="inlineStr">
        <is>
          <t>L</t>
        </is>
      </c>
      <c r="I90" s="2">
        <f>IF(H90="S",0.5,IF(H90="M",1,IF(H90="L",2,0)))</f>
        <v/>
      </c>
      <c r="J90" s="2" t="inlineStr">
        <is>
          <t>A</t>
        </is>
      </c>
      <c r="K90" s="2" t="inlineStr">
        <is>
          <t>backend</t>
        </is>
      </c>
      <c r="L90" s="2" t="inlineStr">
        <is>
          <t>Assigned</t>
        </is>
      </c>
      <c r="M90" s="2" t="inlineStr">
        <is>
          <t>Nostidus4</t>
        </is>
      </c>
      <c r="N90" s="2" t="inlineStr">
        <is>
          <t>OPEN</t>
        </is>
      </c>
      <c r="O90" s="2" t="inlineStr">
        <is>
          <t>POL-006, POL-007, SC-016</t>
        </is>
      </c>
      <c r="P90" s="2">
        <f>IF(O90="",0,SUMPRODUCT(--ISNUMBER(SEARCH(", "&amp;$A$2:$A$245&amp;",",", "&amp;O90&amp;",")),--($L$2:$L$245&lt;&gt;"Done")))</f>
        <v/>
      </c>
      <c r="Q90" s="3" t="inlineStr">
        <is>
          <t>open</t>
        </is>
      </c>
    </row>
    <row r="91">
      <c r="A91" s="2" t="inlineStr">
        <is>
          <t>EXE-006</t>
        </is>
      </c>
      <c r="B91" s="2" t="n">
        <v>147</v>
      </c>
      <c r="C91" s="2" t="inlineStr">
        <is>
          <t>[EXECUTION] Load the executor key from an encrypted keystore</t>
        </is>
      </c>
      <c r="D91" s="2" t="inlineStr">
        <is>
          <t>execution</t>
        </is>
      </c>
      <c r="E91" s="2" t="inlineStr">
        <is>
          <t>[EPIC] M10 · Orchestration &amp; Execution</t>
        </is>
      </c>
      <c r="F91" s="2" t="inlineStr">
        <is>
          <t>P0</t>
        </is>
      </c>
      <c r="G91" s="2" t="inlineStr">
        <is>
          <t>M1</t>
        </is>
      </c>
      <c r="H91" s="2" t="inlineStr">
        <is>
          <t>S</t>
        </is>
      </c>
      <c r="I91" s="2">
        <f>IF(H91="S",0.5,IF(H91="M",1,IF(H91="L",2,0)))</f>
        <v/>
      </c>
      <c r="J91" s="2" t="inlineStr">
        <is>
          <t>A</t>
        </is>
      </c>
      <c r="K91" s="2" t="inlineStr">
        <is>
          <t>backend</t>
        </is>
      </c>
      <c r="L91" s="2" t="inlineStr">
        <is>
          <t>Assigned</t>
        </is>
      </c>
      <c r="M91" s="2" t="inlineStr">
        <is>
          <t>Nostidus4</t>
        </is>
      </c>
      <c r="N91" s="2" t="inlineStr">
        <is>
          <t>OPEN</t>
        </is>
      </c>
      <c r="O91" s="2" t="inlineStr">
        <is>
          <t>EXE-005</t>
        </is>
      </c>
      <c r="P91" s="2">
        <f>IF(O91="",0,SUMPRODUCT(--ISNUMBER(SEARCH(", "&amp;$A$2:$A$245&amp;",",", "&amp;O91&amp;",")),--($L$2:$L$245&lt;&gt;"Done")))</f>
        <v/>
      </c>
      <c r="Q91" s="3" t="inlineStr">
        <is>
          <t>open</t>
        </is>
      </c>
    </row>
    <row r="92">
      <c r="A92" s="2" t="inlineStr">
        <is>
          <t>EXE-007</t>
        </is>
      </c>
      <c r="B92" s="2" t="n">
        <v>61</v>
      </c>
      <c r="C92" s="2" t="inlineStr">
        <is>
          <t>[EXECUTION] Implement the executor with outbox semantics</t>
        </is>
      </c>
      <c r="D92" s="2" t="inlineStr">
        <is>
          <t>execution</t>
        </is>
      </c>
      <c r="E92" s="2" t="inlineStr">
        <is>
          <t>[EPIC] M10 · Orchestration &amp; Execution</t>
        </is>
      </c>
      <c r="F92" s="2" t="inlineStr">
        <is>
          <t>P0</t>
        </is>
      </c>
      <c r="G92" s="2" t="inlineStr">
        <is>
          <t>M1</t>
        </is>
      </c>
      <c r="H92" s="2" t="inlineStr">
        <is>
          <t>M</t>
        </is>
      </c>
      <c r="I92" s="2">
        <f>IF(H92="S",0.5,IF(H92="M",1,IF(H92="L",2,0)))</f>
        <v/>
      </c>
      <c r="J92" s="2" t="inlineStr">
        <is>
          <t>A</t>
        </is>
      </c>
      <c r="K92" s="2" t="inlineStr">
        <is>
          <t>backend</t>
        </is>
      </c>
      <c r="L92" s="2" t="inlineStr">
        <is>
          <t>Assigned</t>
        </is>
      </c>
      <c r="M92" s="2" t="inlineStr">
        <is>
          <t>Nostidus4</t>
        </is>
      </c>
      <c r="N92" s="2" t="inlineStr">
        <is>
          <t>OPEN</t>
        </is>
      </c>
      <c r="O92" s="2" t="inlineStr">
        <is>
          <t>EXE-005, EXE-001</t>
        </is>
      </c>
      <c r="P92" s="2">
        <f>IF(O92="",0,SUMPRODUCT(--ISNUMBER(SEARCH(", "&amp;$A$2:$A$245&amp;",",", "&amp;O92&amp;",")),--($L$2:$L$245&lt;&gt;"Done")))</f>
        <v/>
      </c>
      <c r="Q92" s="3" t="inlineStr">
        <is>
          <t>open</t>
        </is>
      </c>
    </row>
    <row r="93">
      <c r="A93" s="2" t="inlineStr">
        <is>
          <t>EXE-008</t>
        </is>
      </c>
      <c r="B93" s="2" t="n">
        <v>65</v>
      </c>
      <c r="C93" s="2" t="inlineStr">
        <is>
          <t>[EXECUTION] Sequence steps with re-read and re-validation</t>
        </is>
      </c>
      <c r="D93" s="2" t="inlineStr">
        <is>
          <t>execution</t>
        </is>
      </c>
      <c r="E93" s="2" t="inlineStr">
        <is>
          <t>[EPIC] M10 · Orchestration &amp; Execution</t>
        </is>
      </c>
      <c r="F93" s="2" t="inlineStr">
        <is>
          <t>P0</t>
        </is>
      </c>
      <c r="G93" s="2" t="inlineStr">
        <is>
          <t>M1</t>
        </is>
      </c>
      <c r="H93" s="2" t="inlineStr">
        <is>
          <t>M</t>
        </is>
      </c>
      <c r="I93" s="2">
        <f>IF(H93="S",0.5,IF(H93="M",1,IF(H93="L",2,0)))</f>
        <v/>
      </c>
      <c r="J93" s="2" t="inlineStr">
        <is>
          <t>A</t>
        </is>
      </c>
      <c r="K93" s="2" t="inlineStr">
        <is>
          <t>backend</t>
        </is>
      </c>
      <c r="L93" s="2" t="inlineStr">
        <is>
          <t>Assigned</t>
        </is>
      </c>
      <c r="M93" s="2" t="inlineStr">
        <is>
          <t>Nostidus4</t>
        </is>
      </c>
      <c r="N93" s="2" t="inlineStr">
        <is>
          <t>OPEN</t>
        </is>
      </c>
      <c r="O93" s="2" t="inlineStr">
        <is>
          <t>EXE-007, CHR-003, POL-003, POL-007</t>
        </is>
      </c>
      <c r="P93" s="2">
        <f>IF(O93="",0,SUMPRODUCT(--ISNUMBER(SEARCH(", "&amp;$A$2:$A$245&amp;",",", "&amp;O93&amp;",")),--($L$2:$L$245&lt;&gt;"Done")))</f>
        <v/>
      </c>
      <c r="Q93" s="3" t="inlineStr">
        <is>
          <t>open</t>
        </is>
      </c>
    </row>
    <row r="94">
      <c r="A94" s="2" t="inlineStr">
        <is>
          <t>EXE-009</t>
        </is>
      </c>
      <c r="B94" s="2" t="n">
        <v>148</v>
      </c>
      <c r="C94" s="2" t="inlineStr">
        <is>
          <t>[EXECUTION] Add the operator run-now endpoint</t>
        </is>
      </c>
      <c r="D94" s="2" t="inlineStr">
        <is>
          <t>execution</t>
        </is>
      </c>
      <c r="E94" s="2" t="inlineStr">
        <is>
          <t>[EPIC] M10 · Orchestration &amp; Execution</t>
        </is>
      </c>
      <c r="F94" s="2" t="inlineStr">
        <is>
          <t>P1</t>
        </is>
      </c>
      <c r="G94" s="2" t="inlineStr">
        <is>
          <t>M1</t>
        </is>
      </c>
      <c r="H94" s="2" t="inlineStr">
        <is>
          <t>S</t>
        </is>
      </c>
      <c r="I94" s="2">
        <f>IF(H94="S",0.5,IF(H94="M",1,IF(H94="L",2,0)))</f>
        <v/>
      </c>
      <c r="J94" s="2" t="inlineStr">
        <is>
          <t>After submission</t>
        </is>
      </c>
      <c r="K94" s="2" t="inlineStr">
        <is>
          <t>backend</t>
        </is>
      </c>
      <c r="L94" s="2" t="inlineStr">
        <is>
          <t>Assigned</t>
        </is>
      </c>
      <c r="M94" s="2" t="inlineStr">
        <is>
          <t>Nostidus4</t>
        </is>
      </c>
      <c r="N94" s="2" t="inlineStr">
        <is>
          <t>OPEN</t>
        </is>
      </c>
      <c r="O94" s="2" t="inlineStr">
        <is>
          <t>EXE-003</t>
        </is>
      </c>
      <c r="P94" s="2">
        <f>IF(O94="",0,SUMPRODUCT(--ISNUMBER(SEARCH(", "&amp;$A$2:$A$245&amp;",",", "&amp;O94&amp;",")),--($L$2:$L$245&lt;&gt;"Done")))</f>
        <v/>
      </c>
      <c r="Q94" s="3" t="inlineStr">
        <is>
          <t>open</t>
        </is>
      </c>
    </row>
    <row r="95">
      <c r="A95" s="2" t="inlineStr">
        <is>
          <t>EXE-010</t>
        </is>
      </c>
      <c r="B95" s="2" t="n">
        <v>149</v>
      </c>
      <c r="C95" s="2" t="inlineStr">
        <is>
          <t>[EXECUTION] Track gas fees and alert on low executor gas</t>
        </is>
      </c>
      <c r="D95" s="2" t="inlineStr">
        <is>
          <t>execution</t>
        </is>
      </c>
      <c r="E95" s="2" t="inlineStr">
        <is>
          <t>[EPIC] M10 · Orchestration &amp; Execution</t>
        </is>
      </c>
      <c r="F95" s="2" t="inlineStr">
        <is>
          <t>P1</t>
        </is>
      </c>
      <c r="G95" s="2" t="inlineStr">
        <is>
          <t>M1</t>
        </is>
      </c>
      <c r="H95" s="2" t="inlineStr">
        <is>
          <t>S</t>
        </is>
      </c>
      <c r="I95" s="2">
        <f>IF(H95="S",0.5,IF(H95="M",1,IF(H95="L",2,0)))</f>
        <v/>
      </c>
      <c r="J95" s="2" t="inlineStr">
        <is>
          <t>After submission</t>
        </is>
      </c>
      <c r="K95" s="2" t="inlineStr">
        <is>
          <t>backend</t>
        </is>
      </c>
      <c r="L95" s="2" t="inlineStr">
        <is>
          <t>Assigned</t>
        </is>
      </c>
      <c r="M95" s="2" t="inlineStr">
        <is>
          <t>Nostidus4</t>
        </is>
      </c>
      <c r="N95" s="2" t="inlineStr">
        <is>
          <t>OPEN</t>
        </is>
      </c>
      <c r="O95" s="2" t="inlineStr">
        <is>
          <t>EXE-007</t>
        </is>
      </c>
      <c r="P95" s="2">
        <f>IF(O95="",0,SUMPRODUCT(--ISNUMBER(SEARCH(", "&amp;$A$2:$A$245&amp;",",", "&amp;O95&amp;",")),--($L$2:$L$245&lt;&gt;"Done")))</f>
        <v/>
      </c>
      <c r="Q95" s="3" t="inlineStr">
        <is>
          <t>open</t>
        </is>
      </c>
    </row>
    <row r="96">
      <c r="A96" s="2" t="inlineStr">
        <is>
          <t>EXE-011</t>
        </is>
      </c>
      <c r="B96" s="2" t="n">
        <v>150</v>
      </c>
      <c r="C96" s="2" t="inlineStr">
        <is>
          <t>[EXECUTION] Execute the swap-for-gas step on the test router</t>
        </is>
      </c>
      <c r="D96" s="2" t="inlineStr">
        <is>
          <t>execution</t>
        </is>
      </c>
      <c r="E96" s="2" t="inlineStr">
        <is>
          <t>[EPIC] M10 · Orchestration &amp; Execution</t>
        </is>
      </c>
      <c r="F96" s="2" t="inlineStr">
        <is>
          <t>P2</t>
        </is>
      </c>
      <c r="G96" s="2" t="inlineStr">
        <is>
          <t>M1</t>
        </is>
      </c>
      <c r="H96" s="2" t="inlineStr">
        <is>
          <t>S</t>
        </is>
      </c>
      <c r="I96" s="2">
        <f>IF(H96="S",0.5,IF(H96="M",1,IF(H96="L",2,0)))</f>
        <v/>
      </c>
      <c r="J96" s="2" t="inlineStr">
        <is>
          <t>After submission</t>
        </is>
      </c>
      <c r="K96" s="2" t="inlineStr">
        <is>
          <t>backend</t>
        </is>
      </c>
      <c r="L96" s="2" t="inlineStr">
        <is>
          <t>Assigned</t>
        </is>
      </c>
      <c r="M96" s="2" t="inlineStr">
        <is>
          <t>Nostidus4</t>
        </is>
      </c>
      <c r="N96" s="2" t="inlineStr">
        <is>
          <t>OPEN</t>
        </is>
      </c>
      <c r="O96" s="2" t="inlineStr">
        <is>
          <t>EXE-008, SC-018</t>
        </is>
      </c>
      <c r="P96" s="2">
        <f>IF(O96="",0,SUMPRODUCT(--ISNUMBER(SEARCH(", "&amp;$A$2:$A$245&amp;",",", "&amp;O96&amp;",")),--($L$2:$L$245&lt;&gt;"Done")))</f>
        <v/>
      </c>
      <c r="Q96" s="3" t="inlineStr">
        <is>
          <t>open</t>
        </is>
      </c>
    </row>
    <row r="97">
      <c r="A97" s="2" t="inlineStr">
        <is>
          <t>EXE-012</t>
        </is>
      </c>
      <c r="B97" s="2" t="n">
        <v>249</v>
      </c>
      <c r="C97" s="2" t="inlineStr">
        <is>
          <t>[EXECUTION] Implement the fee policy, fee holds and fee acceptance</t>
        </is>
      </c>
      <c r="D97" s="2" t="inlineStr">
        <is>
          <t>execution</t>
        </is>
      </c>
      <c r="E97" s="2" t="inlineStr">
        <is>
          <t>[EPIC] M10 · Orchestration &amp; Execution</t>
        </is>
      </c>
      <c r="F97" s="2" t="inlineStr">
        <is>
          <t>P0</t>
        </is>
      </c>
      <c r="G97" s="2" t="inlineStr">
        <is>
          <t>M1</t>
        </is>
      </c>
      <c r="H97" s="2" t="inlineStr">
        <is>
          <t>M</t>
        </is>
      </c>
      <c r="I97" s="2">
        <f>IF(H97="S",0.5,IF(H97="M",1,IF(H97="L",2,0)))</f>
        <v/>
      </c>
      <c r="J97" s="2" t="inlineStr">
        <is>
          <t>A</t>
        </is>
      </c>
      <c r="K97" s="2" t="inlineStr">
        <is>
          <t>backend</t>
        </is>
      </c>
      <c r="L97" s="2" t="inlineStr">
        <is>
          <t>Assigned</t>
        </is>
      </c>
      <c r="M97" s="2" t="inlineStr">
        <is>
          <t>Nostidus4</t>
        </is>
      </c>
      <c r="N97" s="2" t="inlineStr">
        <is>
          <t>OPEN</t>
        </is>
      </c>
      <c r="O97" s="2" t="inlineStr">
        <is>
          <t>MDT-001, CHR-001, ENG-001</t>
        </is>
      </c>
      <c r="P97" s="2">
        <f>IF(O97="",0,SUMPRODUCT(--ISNUMBER(SEARCH(", "&amp;$A$2:$A$245&amp;",",", "&amp;O97&amp;",")),--($L$2:$L$245&lt;&gt;"Done")))</f>
        <v/>
      </c>
      <c r="Q97" s="3" t="inlineStr">
        <is>
          <t>open</t>
        </is>
      </c>
    </row>
    <row r="98">
      <c r="A98" s="2" t="inlineStr">
        <is>
          <t>EXE-013</t>
        </is>
      </c>
      <c r="B98" s="2" t="n">
        <v>248</v>
      </c>
      <c r="C98" s="2" t="inlineStr">
        <is>
          <t>[EXECUTION] Add the pause-only sentinel to the signer</t>
        </is>
      </c>
      <c r="D98" s="2" t="inlineStr">
        <is>
          <t>execution</t>
        </is>
      </c>
      <c r="E98" s="2" t="inlineStr">
        <is>
          <t>[EPIC] M10 · Orchestration &amp; Execution</t>
        </is>
      </c>
      <c r="F98" s="2" t="inlineStr">
        <is>
          <t>P0</t>
        </is>
      </c>
      <c r="G98" s="2" t="inlineStr">
        <is>
          <t>M1</t>
        </is>
      </c>
      <c r="H98" s="2" t="inlineStr">
        <is>
          <t>S</t>
        </is>
      </c>
      <c r="I98" s="2">
        <f>IF(H98="S",0.5,IF(H98="M",1,IF(H98="L",2,0)))</f>
        <v/>
      </c>
      <c r="J98" s="2" t="inlineStr">
        <is>
          <t>A</t>
        </is>
      </c>
      <c r="K98" s="2" t="inlineStr">
        <is>
          <t>backend</t>
        </is>
      </c>
      <c r="L98" s="2" t="inlineStr">
        <is>
          <t>Assigned</t>
        </is>
      </c>
      <c r="M98" s="2" t="inlineStr">
        <is>
          <t>Nostidus4</t>
        </is>
      </c>
      <c r="N98" s="2" t="inlineStr">
        <is>
          <t>OPEN</t>
        </is>
      </c>
      <c r="O98" s="2" t="inlineStr">
        <is>
          <t>EXE-005, EXE-006</t>
        </is>
      </c>
      <c r="P98" s="2">
        <f>IF(O98="",0,SUMPRODUCT(--ISNUMBER(SEARCH(", "&amp;$A$2:$A$245&amp;",",", "&amp;O98&amp;",")),--($L$2:$L$245&lt;&gt;"Done")))</f>
        <v/>
      </c>
      <c r="Q98" s="3" t="inlineStr">
        <is>
          <t>open</t>
        </is>
      </c>
    </row>
    <row r="99">
      <c r="A99" s="2" t="inlineStr">
        <is>
          <t>EXE-014</t>
        </is>
      </c>
      <c r="B99" s="2" t="n">
        <v>261</v>
      </c>
      <c r="C99" s="2" t="inlineStr">
        <is>
          <t>[EXECUTION] Run the liquidity cycle (supply / withdraw)</t>
        </is>
      </c>
      <c r="D99" s="2" t="inlineStr">
        <is>
          <t>execution</t>
        </is>
      </c>
      <c r="E99" s="2" t="inlineStr">
        <is>
          <t>[EPIC] M10 · Orchestration &amp; Execution</t>
        </is>
      </c>
      <c r="F99" s="2" t="inlineStr">
        <is>
          <t>P0</t>
        </is>
      </c>
      <c r="G99" s="2" t="inlineStr">
        <is>
          <t>M1</t>
        </is>
      </c>
      <c r="H99" s="2" t="inlineStr">
        <is>
          <t>S</t>
        </is>
      </c>
      <c r="I99" s="2">
        <f>IF(H99="S",0.5,IF(H99="M",1,IF(H99="L",2,0)))</f>
        <v/>
      </c>
      <c r="J99" s="2" t="inlineStr">
        <is>
          <t>A</t>
        </is>
      </c>
      <c r="K99" s="2" t="inlineStr">
        <is>
          <t>backend</t>
        </is>
      </c>
      <c r="L99" s="2" t="inlineStr">
        <is>
          <t>Assigned</t>
        </is>
      </c>
      <c r="M99" s="2" t="inlineStr">
        <is>
          <t>Nostidus4</t>
        </is>
      </c>
      <c r="N99" s="2" t="inlineStr">
        <is>
          <t>OPEN</t>
        </is>
      </c>
      <c r="O99" s="2" t="inlineStr">
        <is>
          <t>EXE-008, ENG-013, SC-024</t>
        </is>
      </c>
      <c r="P99" s="2">
        <f>IF(O99="",0,SUMPRODUCT(--ISNUMBER(SEARCH(", "&amp;$A$2:$A$245&amp;",",", "&amp;O99&amp;",")),--($L$2:$L$245&lt;&gt;"Done")))</f>
        <v/>
      </c>
      <c r="Q99" s="3" t="inlineStr">
        <is>
          <t>open</t>
        </is>
      </c>
    </row>
    <row r="100">
      <c r="A100" s="2" t="inlineStr">
        <is>
          <t>EXE-L01</t>
        </is>
      </c>
      <c r="B100" s="2" t="n">
        <v>151</v>
      </c>
      <c r="C100" s="2" t="inlineStr">
        <is>
          <t>[EXECUTION] Add a KMS-backed signer</t>
        </is>
      </c>
      <c r="D100" s="2" t="inlineStr">
        <is>
          <t>execution</t>
        </is>
      </c>
      <c r="E100" s="2" t="inlineStr">
        <is>
          <t>[EPIC] M10 · Orchestration &amp; Execution</t>
        </is>
      </c>
      <c r="F100" s="2" t="inlineStr">
        <is>
          <t>—</t>
        </is>
      </c>
      <c r="G100" s="2" t="inlineStr">
        <is>
          <t>Later</t>
        </is>
      </c>
      <c r="H100" s="2" t="inlineStr">
        <is>
          <t>M</t>
        </is>
      </c>
      <c r="I100" s="2">
        <f>IF(H100="S",0.5,IF(H100="M",1,IF(H100="L",2,0)))</f>
        <v/>
      </c>
      <c r="J100" s="2" t="inlineStr">
        <is>
          <t>Later</t>
        </is>
      </c>
      <c r="K100" s="2" t="inlineStr">
        <is>
          <t>backend</t>
        </is>
      </c>
      <c r="L100" s="2" t="inlineStr">
        <is>
          <t>Accepted</t>
        </is>
      </c>
      <c r="M100" s="2" t="inlineStr"/>
      <c r="N100" s="2" t="inlineStr">
        <is>
          <t>OPEN</t>
        </is>
      </c>
      <c r="O100" s="2" t="inlineStr">
        <is>
          <t>EXE-005</t>
        </is>
      </c>
      <c r="P100" s="2">
        <f>IF(O100="",0,SUMPRODUCT(--ISNUMBER(SEARCH(", "&amp;$A$2:$A$245&amp;",",", "&amp;O100&amp;",")),--($L$2:$L$245&lt;&gt;"Done")))</f>
        <v/>
      </c>
      <c r="Q100" s="3" t="inlineStr">
        <is>
          <t>open</t>
        </is>
      </c>
    </row>
    <row r="101">
      <c r="A101" s="2" t="inlineStr">
        <is>
          <t>EXE-L02</t>
        </is>
      </c>
      <c r="B101" s="2" t="n">
        <v>152</v>
      </c>
      <c r="C101" s="2" t="inlineStr">
        <is>
          <t>[EXECUTION] Integrate the production swap adapter</t>
        </is>
      </c>
      <c r="D101" s="2" t="inlineStr">
        <is>
          <t>execution</t>
        </is>
      </c>
      <c r="E101" s="2" t="inlineStr">
        <is>
          <t>[EPIC] M10 · Orchestration &amp; Execution</t>
        </is>
      </c>
      <c r="F101" s="2" t="inlineStr">
        <is>
          <t>—</t>
        </is>
      </c>
      <c r="G101" s="2" t="inlineStr">
        <is>
          <t>Later</t>
        </is>
      </c>
      <c r="H101" s="2" t="inlineStr">
        <is>
          <t>M</t>
        </is>
      </c>
      <c r="I101" s="2">
        <f>IF(H101="S",0.5,IF(H101="M",1,IF(H101="L",2,0)))</f>
        <v/>
      </c>
      <c r="J101" s="2" t="inlineStr">
        <is>
          <t>Later</t>
        </is>
      </c>
      <c r="K101" s="2" t="inlineStr">
        <is>
          <t>backend</t>
        </is>
      </c>
      <c r="L101" s="2" t="inlineStr">
        <is>
          <t>Accepted</t>
        </is>
      </c>
      <c r="M101" s="2" t="inlineStr"/>
      <c r="N101" s="2" t="inlineStr">
        <is>
          <t>OPEN</t>
        </is>
      </c>
      <c r="O101" s="2" t="inlineStr">
        <is>
          <t>EXE-011, SC-L03</t>
        </is>
      </c>
      <c r="P101" s="2">
        <f>IF(O101="",0,SUMPRODUCT(--ISNUMBER(SEARCH(", "&amp;$A$2:$A$245&amp;",",", "&amp;O101&amp;",")),--($L$2:$L$245&lt;&gt;"Done")))</f>
        <v/>
      </c>
      <c r="Q101" s="3" t="inlineStr">
        <is>
          <t>open</t>
        </is>
      </c>
    </row>
    <row r="102">
      <c r="A102" s="2" t="inlineStr">
        <is>
          <t>EXE-L03</t>
        </is>
      </c>
      <c r="B102" s="2" t="n">
        <v>153</v>
      </c>
      <c r="C102" s="2" t="inlineStr">
        <is>
          <t>[EXECUTION] Add cross-chain bridging</t>
        </is>
      </c>
      <c r="D102" s="2" t="inlineStr">
        <is>
          <t>execution</t>
        </is>
      </c>
      <c r="E102" s="2" t="inlineStr">
        <is>
          <t>[EPIC] M10 · Orchestration &amp; Execution</t>
        </is>
      </c>
      <c r="F102" s="2" t="inlineStr">
        <is>
          <t>—</t>
        </is>
      </c>
      <c r="G102" s="2" t="inlineStr">
        <is>
          <t>Later</t>
        </is>
      </c>
      <c r="H102" s="2" t="inlineStr">
        <is>
          <t>L</t>
        </is>
      </c>
      <c r="I102" s="2">
        <f>IF(H102="S",0.5,IF(H102="M",1,IF(H102="L",2,0)))</f>
        <v/>
      </c>
      <c r="J102" s="2" t="inlineStr">
        <is>
          <t>Later</t>
        </is>
      </c>
      <c r="K102" s="2" t="inlineStr">
        <is>
          <t>backend</t>
        </is>
      </c>
      <c r="L102" s="2" t="inlineStr">
        <is>
          <t>Accepted</t>
        </is>
      </c>
      <c r="M102" s="2" t="inlineStr"/>
      <c r="N102" s="2" t="inlineStr">
        <is>
          <t>OPEN</t>
        </is>
      </c>
      <c r="O102" s="2" t="inlineStr">
        <is>
          <t>TRS-L01</t>
        </is>
      </c>
      <c r="P102" s="2">
        <f>IF(O102="",0,SUMPRODUCT(--ISNUMBER(SEARCH(", "&amp;$A$2:$A$245&amp;",",", "&amp;O102&amp;",")),--($L$2:$L$245&lt;&gt;"Done")))</f>
        <v/>
      </c>
      <c r="Q102" s="3" t="inlineStr">
        <is>
          <t>open</t>
        </is>
      </c>
    </row>
    <row r="103">
      <c r="A103" s="2" t="inlineStr">
        <is>
          <t>EXE-L04</t>
        </is>
      </c>
      <c r="B103" s="2" t="n">
        <v>154</v>
      </c>
      <c r="C103" s="2" t="inlineStr">
        <is>
          <t>[EXECUTION] Partition workers by treasury for scale</t>
        </is>
      </c>
      <c r="D103" s="2" t="inlineStr">
        <is>
          <t>execution</t>
        </is>
      </c>
      <c r="E103" s="2" t="inlineStr">
        <is>
          <t>[EPIC] M10 · Orchestration &amp; Execution</t>
        </is>
      </c>
      <c r="F103" s="2" t="inlineStr">
        <is>
          <t>—</t>
        </is>
      </c>
      <c r="G103" s="2" t="inlineStr">
        <is>
          <t>Later</t>
        </is>
      </c>
      <c r="H103" s="2" t="inlineStr">
        <is>
          <t>M</t>
        </is>
      </c>
      <c r="I103" s="2">
        <f>IF(H103="S",0.5,IF(H103="M",1,IF(H103="L",2,0)))</f>
        <v/>
      </c>
      <c r="J103" s="2" t="inlineStr">
        <is>
          <t>Later</t>
        </is>
      </c>
      <c r="K103" s="2" t="inlineStr">
        <is>
          <t>backend</t>
        </is>
      </c>
      <c r="L103" s="2" t="inlineStr">
        <is>
          <t>Accepted</t>
        </is>
      </c>
      <c r="M103" s="2" t="inlineStr"/>
      <c r="N103" s="2" t="inlineStr">
        <is>
          <t>OPEN</t>
        </is>
      </c>
      <c r="O103" s="2" t="inlineStr">
        <is>
          <t>EXE-002</t>
        </is>
      </c>
      <c r="P103" s="2">
        <f>IF(O103="",0,SUMPRODUCT(--ISNUMBER(SEARCH(", "&amp;$A$2:$A$245&amp;",",", "&amp;O103&amp;",")),--($L$2:$L$245&lt;&gt;"Done")))</f>
        <v/>
      </c>
      <c r="Q103" s="3" t="inlineStr">
        <is>
          <t>open</t>
        </is>
      </c>
    </row>
    <row r="104">
      <c r="A104" s="2" t="inlineStr">
        <is>
          <t>IDN-001</t>
        </is>
      </c>
      <c r="B104" s="2" t="n">
        <v>32</v>
      </c>
      <c r="C104" s="2" t="inlineStr">
        <is>
          <t>[IDENTITY] Create identity database schema and migrations</t>
        </is>
      </c>
      <c r="D104" s="2" t="inlineStr">
        <is>
          <t>identity</t>
        </is>
      </c>
      <c r="E104" s="2" t="inlineStr">
        <is>
          <t>[EPIC] M01 · Identity &amp; Access</t>
        </is>
      </c>
      <c r="F104" s="2" t="inlineStr">
        <is>
          <t>P0</t>
        </is>
      </c>
      <c r="G104" s="2" t="inlineStr">
        <is>
          <t>M1</t>
        </is>
      </c>
      <c r="H104" s="2" t="inlineStr">
        <is>
          <t>S</t>
        </is>
      </c>
      <c r="I104" s="2">
        <f>IF(H104="S",0.5,IF(H104="M",1,IF(H104="L",2,0)))</f>
        <v/>
      </c>
      <c r="J104" s="2" t="inlineStr">
        <is>
          <t>A</t>
        </is>
      </c>
      <c r="K104" s="2" t="inlineStr">
        <is>
          <t>backend</t>
        </is>
      </c>
      <c r="L104" s="2" t="inlineStr">
        <is>
          <t>Assigned</t>
        </is>
      </c>
      <c r="M104" s="2" t="inlineStr">
        <is>
          <t>Nostidus4</t>
        </is>
      </c>
      <c r="N104" s="2" t="inlineStr">
        <is>
          <t>OPEN</t>
        </is>
      </c>
      <c r="O104" s="2" t="inlineStr">
        <is>
          <t>DEV-002</t>
        </is>
      </c>
      <c r="P104" s="2">
        <f>IF(O104="",0,SUMPRODUCT(--ISNUMBER(SEARCH(", "&amp;$A$2:$A$245&amp;",",", "&amp;O104&amp;",")),--($L$2:$L$245&lt;&gt;"Done")))</f>
        <v/>
      </c>
      <c r="Q104" s="3" t="inlineStr">
        <is>
          <t>open</t>
        </is>
      </c>
    </row>
    <row r="105">
      <c r="A105" s="2" t="inlineStr">
        <is>
          <t>IDN-002</t>
        </is>
      </c>
      <c r="B105" s="2" t="n">
        <v>37</v>
      </c>
      <c r="C105" s="2" t="inlineStr">
        <is>
          <t>[IDENTITY] Implement magic-link login, sessions and CSRF</t>
        </is>
      </c>
      <c r="D105" s="2" t="inlineStr">
        <is>
          <t>identity</t>
        </is>
      </c>
      <c r="E105" s="2" t="inlineStr">
        <is>
          <t>[EPIC] M01 · Identity &amp; Access</t>
        </is>
      </c>
      <c r="F105" s="2" t="inlineStr">
        <is>
          <t>P0</t>
        </is>
      </c>
      <c r="G105" s="2" t="inlineStr">
        <is>
          <t>M1</t>
        </is>
      </c>
      <c r="H105" s="2" t="inlineStr">
        <is>
          <t>M</t>
        </is>
      </c>
      <c r="I105" s="2">
        <f>IF(H105="S",0.5,IF(H105="M",1,IF(H105="L",2,0)))</f>
        <v/>
      </c>
      <c r="J105" s="2" t="inlineStr">
        <is>
          <t>A</t>
        </is>
      </c>
      <c r="K105" s="2" t="inlineStr">
        <is>
          <t>backend</t>
        </is>
      </c>
      <c r="L105" s="2" t="inlineStr">
        <is>
          <t>Assigned</t>
        </is>
      </c>
      <c r="M105" s="2" t="inlineStr">
        <is>
          <t>Nostidus4</t>
        </is>
      </c>
      <c r="N105" s="2" t="inlineStr">
        <is>
          <t>OPEN</t>
        </is>
      </c>
      <c r="O105" s="2" t="inlineStr">
        <is>
          <t>IDN-001</t>
        </is>
      </c>
      <c r="P105" s="2">
        <f>IF(O105="",0,SUMPRODUCT(--ISNUMBER(SEARCH(", "&amp;$A$2:$A$245&amp;",",", "&amp;O105&amp;",")),--($L$2:$L$245&lt;&gt;"Done")))</f>
        <v/>
      </c>
      <c r="Q105" s="3" t="inlineStr">
        <is>
          <t>open</t>
        </is>
      </c>
    </row>
    <row r="106">
      <c r="A106" s="2" t="inlineStr">
        <is>
          <t>IDN-003</t>
        </is>
      </c>
      <c r="B106" s="2" t="n">
        <v>105</v>
      </c>
      <c r="C106" s="2" t="inlineStr">
        <is>
          <t>[IDENTITY] Rate-limit authentication endpoints</t>
        </is>
      </c>
      <c r="D106" s="2" t="inlineStr">
        <is>
          <t>identity</t>
        </is>
      </c>
      <c r="E106" s="2" t="inlineStr">
        <is>
          <t>[EPIC] M01 · Identity &amp; Access</t>
        </is>
      </c>
      <c r="F106" s="2" t="inlineStr">
        <is>
          <t>P0</t>
        </is>
      </c>
      <c r="G106" s="2" t="inlineStr">
        <is>
          <t>M1</t>
        </is>
      </c>
      <c r="H106" s="2" t="inlineStr">
        <is>
          <t>S</t>
        </is>
      </c>
      <c r="I106" s="2">
        <f>IF(H106="S",0.5,IF(H106="M",1,IF(H106="L",2,0)))</f>
        <v/>
      </c>
      <c r="J106" s="2" t="inlineStr">
        <is>
          <t>B</t>
        </is>
      </c>
      <c r="K106" s="2" t="inlineStr">
        <is>
          <t>backend</t>
        </is>
      </c>
      <c r="L106" s="2" t="inlineStr">
        <is>
          <t>Assigned</t>
        </is>
      </c>
      <c r="M106" s="2" t="inlineStr">
        <is>
          <t>Nostidus4</t>
        </is>
      </c>
      <c r="N106" s="2" t="inlineStr">
        <is>
          <t>OPEN</t>
        </is>
      </c>
      <c r="O106" s="2" t="inlineStr">
        <is>
          <t>IDN-002</t>
        </is>
      </c>
      <c r="P106" s="2">
        <f>IF(O106="",0,SUMPRODUCT(--ISNUMBER(SEARCH(", "&amp;$A$2:$A$245&amp;",",", "&amp;O106&amp;",")),--($L$2:$L$245&lt;&gt;"Done")))</f>
        <v/>
      </c>
      <c r="Q106" s="3" t="inlineStr">
        <is>
          <t>open</t>
        </is>
      </c>
    </row>
    <row r="107">
      <c r="A107" s="2" t="inlineStr">
        <is>
          <t>IDN-004</t>
        </is>
      </c>
      <c r="B107" s="2" t="n">
        <v>106</v>
      </c>
      <c r="C107" s="2" t="inlineStr">
        <is>
          <t>[IDENTITY] Implement SIWE wallet linking</t>
        </is>
      </c>
      <c r="D107" s="2" t="inlineStr">
        <is>
          <t>identity</t>
        </is>
      </c>
      <c r="E107" s="2" t="inlineStr">
        <is>
          <t>[EPIC] M01 · Identity &amp; Access</t>
        </is>
      </c>
      <c r="F107" s="2" t="inlineStr">
        <is>
          <t>P0</t>
        </is>
      </c>
      <c r="G107" s="2" t="inlineStr">
        <is>
          <t>M1</t>
        </is>
      </c>
      <c r="H107" s="2" t="inlineStr">
        <is>
          <t>M</t>
        </is>
      </c>
      <c r="I107" s="2">
        <f>IF(H107="S",0.5,IF(H107="M",1,IF(H107="L",2,0)))</f>
        <v/>
      </c>
      <c r="J107" s="2" t="inlineStr">
        <is>
          <t>A</t>
        </is>
      </c>
      <c r="K107" s="2" t="inlineStr">
        <is>
          <t>backend</t>
        </is>
      </c>
      <c r="L107" s="2" t="inlineStr">
        <is>
          <t>Assigned</t>
        </is>
      </c>
      <c r="M107" s="2" t="inlineStr">
        <is>
          <t>Nostidus4</t>
        </is>
      </c>
      <c r="N107" s="2" t="inlineStr">
        <is>
          <t>OPEN</t>
        </is>
      </c>
      <c r="O107" s="2" t="inlineStr">
        <is>
          <t>IDN-002</t>
        </is>
      </c>
      <c r="P107" s="2">
        <f>IF(O107="",0,SUMPRODUCT(--ISNUMBER(SEARCH(", "&amp;$A$2:$A$245&amp;",",", "&amp;O107&amp;",")),--($L$2:$L$245&lt;&gt;"Done")))</f>
        <v/>
      </c>
      <c r="Q107" s="3" t="inlineStr">
        <is>
          <t>open</t>
        </is>
      </c>
    </row>
    <row r="108">
      <c r="A108" s="2" t="inlineStr">
        <is>
          <t>IDN-005</t>
        </is>
      </c>
      <c r="B108" s="2" t="n">
        <v>38</v>
      </c>
      <c r="C108" s="2" t="inlineStr">
        <is>
          <t>[IDENTITY] Implement organization creation and onboarding checklist</t>
        </is>
      </c>
      <c r="D108" s="2" t="inlineStr">
        <is>
          <t>identity</t>
        </is>
      </c>
      <c r="E108" s="2" t="inlineStr">
        <is>
          <t>[EPIC] M01 · Identity &amp; Access</t>
        </is>
      </c>
      <c r="F108" s="2" t="inlineStr">
        <is>
          <t>P0</t>
        </is>
      </c>
      <c r="G108" s="2" t="inlineStr">
        <is>
          <t>M1</t>
        </is>
      </c>
      <c r="H108" s="2" t="inlineStr">
        <is>
          <t>S</t>
        </is>
      </c>
      <c r="I108" s="2">
        <f>IF(H108="S",0.5,IF(H108="M",1,IF(H108="L",2,0)))</f>
        <v/>
      </c>
      <c r="J108" s="2" t="inlineStr">
        <is>
          <t>A</t>
        </is>
      </c>
      <c r="K108" s="2" t="inlineStr">
        <is>
          <t>backend</t>
        </is>
      </c>
      <c r="L108" s="2" t="inlineStr">
        <is>
          <t>Assigned</t>
        </is>
      </c>
      <c r="M108" s="2" t="inlineStr">
        <is>
          <t>Nostidus4</t>
        </is>
      </c>
      <c r="N108" s="2" t="inlineStr">
        <is>
          <t>OPEN</t>
        </is>
      </c>
      <c r="O108" s="2" t="inlineStr">
        <is>
          <t>IDN-002</t>
        </is>
      </c>
      <c r="P108" s="2">
        <f>IF(O108="",0,SUMPRODUCT(--ISNUMBER(SEARCH(", "&amp;$A$2:$A$245&amp;",",", "&amp;O108&amp;",")),--($L$2:$L$245&lt;&gt;"Done")))</f>
        <v/>
      </c>
      <c r="Q108" s="3" t="inlineStr">
        <is>
          <t>open</t>
        </is>
      </c>
    </row>
    <row r="109">
      <c r="A109" s="2" t="inlineStr">
        <is>
          <t>IDN-006</t>
        </is>
      </c>
      <c r="B109" s="2" t="n">
        <v>39</v>
      </c>
      <c r="C109" s="2" t="inlineStr">
        <is>
          <t>[IDENTITY] Implement RBAC dependencies and tenant isolation</t>
        </is>
      </c>
      <c r="D109" s="2" t="inlineStr">
        <is>
          <t>identity</t>
        </is>
      </c>
      <c r="E109" s="2" t="inlineStr">
        <is>
          <t>[EPIC] M01 · Identity &amp; Access</t>
        </is>
      </c>
      <c r="F109" s="2" t="inlineStr">
        <is>
          <t>P0</t>
        </is>
      </c>
      <c r="G109" s="2" t="inlineStr">
        <is>
          <t>M1</t>
        </is>
      </c>
      <c r="H109" s="2" t="inlineStr">
        <is>
          <t>M</t>
        </is>
      </c>
      <c r="I109" s="2">
        <f>IF(H109="S",0.5,IF(H109="M",1,IF(H109="L",2,0)))</f>
        <v/>
      </c>
      <c r="J109" s="2" t="inlineStr">
        <is>
          <t>A</t>
        </is>
      </c>
      <c r="K109" s="2" t="inlineStr">
        <is>
          <t>backend</t>
        </is>
      </c>
      <c r="L109" s="2" t="inlineStr">
        <is>
          <t>Assigned</t>
        </is>
      </c>
      <c r="M109" s="2" t="inlineStr">
        <is>
          <t>Nostidus4</t>
        </is>
      </c>
      <c r="N109" s="2" t="inlineStr">
        <is>
          <t>OPEN</t>
        </is>
      </c>
      <c r="O109" s="2" t="inlineStr">
        <is>
          <t>IDN-005</t>
        </is>
      </c>
      <c r="P109" s="2">
        <f>IF(O109="",0,SUMPRODUCT(--ISNUMBER(SEARCH(", "&amp;$A$2:$A$245&amp;",",", "&amp;O109&amp;",")),--($L$2:$L$245&lt;&gt;"Done")))</f>
        <v/>
      </c>
      <c r="Q109" s="3" t="inlineStr">
        <is>
          <t>open</t>
        </is>
      </c>
    </row>
    <row r="110">
      <c r="A110" s="2" t="inlineStr">
        <is>
          <t>IDN-007</t>
        </is>
      </c>
      <c r="B110" s="2" t="n">
        <v>107</v>
      </c>
      <c r="C110" s="2" t="inlineStr">
        <is>
          <t>[IDENTITY] Implement invites and membership management</t>
        </is>
      </c>
      <c r="D110" s="2" t="inlineStr">
        <is>
          <t>identity</t>
        </is>
      </c>
      <c r="E110" s="2" t="inlineStr">
        <is>
          <t>[EPIC] M01 · Identity &amp; Access</t>
        </is>
      </c>
      <c r="F110" s="2" t="inlineStr">
        <is>
          <t>P1</t>
        </is>
      </c>
      <c r="G110" s="2" t="inlineStr">
        <is>
          <t>M1</t>
        </is>
      </c>
      <c r="H110" s="2" t="inlineStr">
        <is>
          <t>M</t>
        </is>
      </c>
      <c r="I110" s="2">
        <f>IF(H110="S",0.5,IF(H110="M",1,IF(H110="L",2,0)))</f>
        <v/>
      </c>
      <c r="J110" s="2" t="inlineStr">
        <is>
          <t>After submission</t>
        </is>
      </c>
      <c r="K110" s="2" t="inlineStr">
        <is>
          <t>backend</t>
        </is>
      </c>
      <c r="L110" s="2" t="inlineStr">
        <is>
          <t>Assigned</t>
        </is>
      </c>
      <c r="M110" s="2" t="inlineStr">
        <is>
          <t>Nostidus4</t>
        </is>
      </c>
      <c r="N110" s="2" t="inlineStr">
        <is>
          <t>OPEN</t>
        </is>
      </c>
      <c r="O110" s="2" t="inlineStr">
        <is>
          <t>IDN-006</t>
        </is>
      </c>
      <c r="P110" s="2">
        <f>IF(O110="",0,SUMPRODUCT(--ISNUMBER(SEARCH(", "&amp;$A$2:$A$245&amp;",",", "&amp;O110&amp;",")),--($L$2:$L$245&lt;&gt;"Done")))</f>
        <v/>
      </c>
      <c r="Q110" s="3" t="inlineStr">
        <is>
          <t>open</t>
        </is>
      </c>
    </row>
    <row r="111">
      <c r="A111" s="2" t="inlineStr">
        <is>
          <t>IDN-008</t>
        </is>
      </c>
      <c r="B111" s="2" t="n">
        <v>108</v>
      </c>
      <c r="C111" s="2" t="inlineStr">
        <is>
          <t>[IDENTITY] Implement the maker-checker service and solo mode</t>
        </is>
      </c>
      <c r="D111" s="2" t="inlineStr">
        <is>
          <t>identity</t>
        </is>
      </c>
      <c r="E111" s="2" t="inlineStr">
        <is>
          <t>[EPIC] M01 · Identity &amp; Access</t>
        </is>
      </c>
      <c r="F111" s="2" t="inlineStr">
        <is>
          <t>P0</t>
        </is>
      </c>
      <c r="G111" s="2" t="inlineStr">
        <is>
          <t>M1</t>
        </is>
      </c>
      <c r="H111" s="2" t="inlineStr">
        <is>
          <t>S</t>
        </is>
      </c>
      <c r="I111" s="2">
        <f>IF(H111="S",0.5,IF(H111="M",1,IF(H111="L",2,0)))</f>
        <v/>
      </c>
      <c r="J111" s="2" t="inlineStr">
        <is>
          <t>A</t>
        </is>
      </c>
      <c r="K111" s="2" t="inlineStr">
        <is>
          <t>backend</t>
        </is>
      </c>
      <c r="L111" s="2" t="inlineStr">
        <is>
          <t>Assigned</t>
        </is>
      </c>
      <c r="M111" s="2" t="inlineStr">
        <is>
          <t>Nostidus4</t>
        </is>
      </c>
      <c r="N111" s="2" t="inlineStr">
        <is>
          <t>OPEN</t>
        </is>
      </c>
      <c r="O111" s="2" t="inlineStr">
        <is>
          <t>IDN-006</t>
        </is>
      </c>
      <c r="P111" s="2">
        <f>IF(O111="",0,SUMPRODUCT(--ISNUMBER(SEARCH(", "&amp;$A$2:$A$245&amp;",",", "&amp;O111&amp;",")),--($L$2:$L$245&lt;&gt;"Done")))</f>
        <v/>
      </c>
      <c r="Q111" s="3" t="inlineStr">
        <is>
          <t>open</t>
        </is>
      </c>
    </row>
    <row r="112">
      <c r="A112" s="2" t="inlineStr">
        <is>
          <t>IDN-L01</t>
        </is>
      </c>
      <c r="B112" s="2" t="n">
        <v>109</v>
      </c>
      <c r="C112" s="2" t="inlineStr">
        <is>
          <t>[IDENTITY] Add MFA and step-up authentication</t>
        </is>
      </c>
      <c r="D112" s="2" t="inlineStr">
        <is>
          <t>identity</t>
        </is>
      </c>
      <c r="E112" s="2" t="inlineStr">
        <is>
          <t>[EPIC] M01 · Identity &amp; Access</t>
        </is>
      </c>
      <c r="F112" s="2" t="inlineStr">
        <is>
          <t>—</t>
        </is>
      </c>
      <c r="G112" s="2" t="inlineStr">
        <is>
          <t>Later</t>
        </is>
      </c>
      <c r="H112" s="2" t="inlineStr">
        <is>
          <t>L</t>
        </is>
      </c>
      <c r="I112" s="2">
        <f>IF(H112="S",0.5,IF(H112="M",1,IF(H112="L",2,0)))</f>
        <v/>
      </c>
      <c r="J112" s="2" t="inlineStr">
        <is>
          <t>Later</t>
        </is>
      </c>
      <c r="K112" s="2" t="inlineStr">
        <is>
          <t>backend</t>
        </is>
      </c>
      <c r="L112" s="2" t="inlineStr">
        <is>
          <t>Accepted</t>
        </is>
      </c>
      <c r="M112" s="2" t="inlineStr"/>
      <c r="N112" s="2" t="inlineStr">
        <is>
          <t>OPEN</t>
        </is>
      </c>
      <c r="O112" s="2" t="inlineStr">
        <is>
          <t>IDN-002</t>
        </is>
      </c>
      <c r="P112" s="2">
        <f>IF(O112="",0,SUMPRODUCT(--ISNUMBER(SEARCH(", "&amp;$A$2:$A$245&amp;",",", "&amp;O112&amp;",")),--($L$2:$L$245&lt;&gt;"Done")))</f>
        <v/>
      </c>
      <c r="Q112" s="3" t="inlineStr">
        <is>
          <t>open</t>
        </is>
      </c>
    </row>
    <row r="113">
      <c r="A113" s="2" t="inlineStr">
        <is>
          <t>IDN-L02</t>
        </is>
      </c>
      <c r="B113" s="2" t="n">
        <v>110</v>
      </c>
      <c r="C113" s="2" t="inlineStr">
        <is>
          <t>[IDENTITY] Add OIDC single sign-on</t>
        </is>
      </c>
      <c r="D113" s="2" t="inlineStr">
        <is>
          <t>identity</t>
        </is>
      </c>
      <c r="E113" s="2" t="inlineStr">
        <is>
          <t>[EPIC] M01 · Identity &amp; Access</t>
        </is>
      </c>
      <c r="F113" s="2" t="inlineStr">
        <is>
          <t>—</t>
        </is>
      </c>
      <c r="G113" s="2" t="inlineStr">
        <is>
          <t>Later</t>
        </is>
      </c>
      <c r="H113" s="2" t="inlineStr">
        <is>
          <t>L</t>
        </is>
      </c>
      <c r="I113" s="2">
        <f>IF(H113="S",0.5,IF(H113="M",1,IF(H113="L",2,0)))</f>
        <v/>
      </c>
      <c r="J113" s="2" t="inlineStr">
        <is>
          <t>Later</t>
        </is>
      </c>
      <c r="K113" s="2" t="inlineStr">
        <is>
          <t>backend</t>
        </is>
      </c>
      <c r="L113" s="2" t="inlineStr">
        <is>
          <t>Accepted</t>
        </is>
      </c>
      <c r="M113" s="2" t="inlineStr"/>
      <c r="N113" s="2" t="inlineStr">
        <is>
          <t>OPEN</t>
        </is>
      </c>
      <c r="O113" s="2" t="inlineStr">
        <is>
          <t>IDN-006</t>
        </is>
      </c>
      <c r="P113" s="2">
        <f>IF(O113="",0,SUMPRODUCT(--ISNUMBER(SEARCH(", "&amp;$A$2:$A$245&amp;",",", "&amp;O113&amp;",")),--($L$2:$L$245&lt;&gt;"Done")))</f>
        <v/>
      </c>
      <c r="Q113" s="3" t="inlineStr">
        <is>
          <t>open</t>
        </is>
      </c>
    </row>
    <row r="114">
      <c r="A114" s="2" t="inlineStr">
        <is>
          <t>IDN-L03</t>
        </is>
      </c>
      <c r="B114" s="2" t="n">
        <v>111</v>
      </c>
      <c r="C114" s="2" t="inlineStr">
        <is>
          <t>[IDENTITY] Add SAML and SCIM provisioning</t>
        </is>
      </c>
      <c r="D114" s="2" t="inlineStr">
        <is>
          <t>identity</t>
        </is>
      </c>
      <c r="E114" s="2" t="inlineStr">
        <is>
          <t>[EPIC] M01 · Identity &amp; Access</t>
        </is>
      </c>
      <c r="F114" s="2" t="inlineStr">
        <is>
          <t>—</t>
        </is>
      </c>
      <c r="G114" s="2" t="inlineStr">
        <is>
          <t>Later</t>
        </is>
      </c>
      <c r="H114" s="2" t="inlineStr">
        <is>
          <t>L</t>
        </is>
      </c>
      <c r="I114" s="2">
        <f>IF(H114="S",0.5,IF(H114="M",1,IF(H114="L",2,0)))</f>
        <v/>
      </c>
      <c r="J114" s="2" t="inlineStr">
        <is>
          <t>Later</t>
        </is>
      </c>
      <c r="K114" s="2" t="inlineStr">
        <is>
          <t>backend</t>
        </is>
      </c>
      <c r="L114" s="2" t="inlineStr">
        <is>
          <t>Accepted</t>
        </is>
      </c>
      <c r="M114" s="2" t="inlineStr"/>
      <c r="N114" s="2" t="inlineStr">
        <is>
          <t>OPEN</t>
        </is>
      </c>
      <c r="O114" s="2" t="inlineStr">
        <is>
          <t>IDN-L02</t>
        </is>
      </c>
      <c r="P114" s="2">
        <f>IF(O114="",0,SUMPRODUCT(--ISNUMBER(SEARCH(", "&amp;$A$2:$A$245&amp;",",", "&amp;O114&amp;",")),--($L$2:$L$245&lt;&gt;"Done")))</f>
        <v/>
      </c>
      <c r="Q114" s="3" t="inlineStr">
        <is>
          <t>open</t>
        </is>
      </c>
    </row>
    <row r="115">
      <c r="A115" s="2" t="inlineStr">
        <is>
          <t>INV-001</t>
        </is>
      </c>
      <c r="B115" s="2" t="n">
        <v>45</v>
      </c>
      <c r="C115" s="2" t="inlineStr">
        <is>
          <t>[INVOICES] Create invoice and request schema</t>
        </is>
      </c>
      <c r="D115" s="2" t="inlineStr">
        <is>
          <t>invoices</t>
        </is>
      </c>
      <c r="E115" s="2" t="inlineStr">
        <is>
          <t>[EPIC] M05 · Invoices &amp; Payment Requests</t>
        </is>
      </c>
      <c r="F115" s="2" t="inlineStr">
        <is>
          <t>P0</t>
        </is>
      </c>
      <c r="G115" s="2" t="inlineStr">
        <is>
          <t>M1</t>
        </is>
      </c>
      <c r="H115" s="2" t="inlineStr">
        <is>
          <t>S</t>
        </is>
      </c>
      <c r="I115" s="2">
        <f>IF(H115="S",0.5,IF(H115="M",1,IF(H115="L",2,0)))</f>
        <v/>
      </c>
      <c r="J115" s="2" t="inlineStr">
        <is>
          <t>A</t>
        </is>
      </c>
      <c r="K115" s="2" t="inlineStr">
        <is>
          <t>backend</t>
        </is>
      </c>
      <c r="L115" s="2" t="inlineStr">
        <is>
          <t>Assigned</t>
        </is>
      </c>
      <c r="M115" s="2" t="inlineStr">
        <is>
          <t>Nostidus4</t>
        </is>
      </c>
      <c r="N115" s="2" t="inlineStr">
        <is>
          <t>OPEN</t>
        </is>
      </c>
      <c r="O115" s="2" t="inlineStr">
        <is>
          <t>MDT-001</t>
        </is>
      </c>
      <c r="P115" s="2">
        <f>IF(O115="",0,SUMPRODUCT(--ISNUMBER(SEARCH(", "&amp;$A$2:$A$245&amp;",",", "&amp;O115&amp;",")),--($L$2:$L$245&lt;&gt;"Done")))</f>
        <v/>
      </c>
      <c r="Q115" s="3" t="inlineStr">
        <is>
          <t>open</t>
        </is>
      </c>
    </row>
    <row r="116">
      <c r="A116" s="2" t="inlineStr">
        <is>
          <t>INV-002</t>
        </is>
      </c>
      <c r="B116" s="2" t="n">
        <v>49</v>
      </c>
      <c r="C116" s="2" t="inlineStr">
        <is>
          <t>[INVOICES] Implement the request state machine</t>
        </is>
      </c>
      <c r="D116" s="2" t="inlineStr">
        <is>
          <t>invoices</t>
        </is>
      </c>
      <c r="E116" s="2" t="inlineStr">
        <is>
          <t>[EPIC] M05 · Invoices &amp; Payment Requests</t>
        </is>
      </c>
      <c r="F116" s="2" t="inlineStr">
        <is>
          <t>P0</t>
        </is>
      </c>
      <c r="G116" s="2" t="inlineStr">
        <is>
          <t>M1</t>
        </is>
      </c>
      <c r="H116" s="2" t="inlineStr">
        <is>
          <t>M</t>
        </is>
      </c>
      <c r="I116" s="2">
        <f>IF(H116="S",0.5,IF(H116="M",1,IF(H116="L",2,0)))</f>
        <v/>
      </c>
      <c r="J116" s="2" t="inlineStr">
        <is>
          <t>A</t>
        </is>
      </c>
      <c r="K116" s="2" t="inlineStr">
        <is>
          <t>backend</t>
        </is>
      </c>
      <c r="L116" s="2" t="inlineStr">
        <is>
          <t>Assigned</t>
        </is>
      </c>
      <c r="M116" s="2" t="inlineStr">
        <is>
          <t>Nostidus4</t>
        </is>
      </c>
      <c r="N116" s="2" t="inlineStr">
        <is>
          <t>OPEN</t>
        </is>
      </c>
      <c r="O116" s="2" t="inlineStr">
        <is>
          <t>INV-001</t>
        </is>
      </c>
      <c r="P116" s="2">
        <f>IF(O116="",0,SUMPRODUCT(--ISNUMBER(SEARCH(", "&amp;$A$2:$A$245&amp;",",", "&amp;O116&amp;",")),--($L$2:$L$245&lt;&gt;"Done")))</f>
        <v/>
      </c>
      <c r="Q116" s="3" t="inlineStr">
        <is>
          <t>open</t>
        </is>
      </c>
    </row>
    <row r="117">
      <c r="A117" s="2" t="inlineStr">
        <is>
          <t>INV-003</t>
        </is>
      </c>
      <c r="B117" s="2" t="n">
        <v>52</v>
      </c>
      <c r="C117" s="2" t="inlineStr">
        <is>
          <t>[INVOICES] Implement manual request creation and editing</t>
        </is>
      </c>
      <c r="D117" s="2" t="inlineStr">
        <is>
          <t>invoices</t>
        </is>
      </c>
      <c r="E117" s="2" t="inlineStr">
        <is>
          <t>[EPIC] M05 · Invoices &amp; Payment Requests</t>
        </is>
      </c>
      <c r="F117" s="2" t="inlineStr">
        <is>
          <t>P0</t>
        </is>
      </c>
      <c r="G117" s="2" t="inlineStr">
        <is>
          <t>M1</t>
        </is>
      </c>
      <c r="H117" s="2" t="inlineStr">
        <is>
          <t>M</t>
        </is>
      </c>
      <c r="I117" s="2">
        <f>IF(H117="S",0.5,IF(H117="M",1,IF(H117="L",2,0)))</f>
        <v/>
      </c>
      <c r="J117" s="2" t="inlineStr">
        <is>
          <t>A</t>
        </is>
      </c>
      <c r="K117" s="2" t="inlineStr">
        <is>
          <t>backend</t>
        </is>
      </c>
      <c r="L117" s="2" t="inlineStr">
        <is>
          <t>Assigned</t>
        </is>
      </c>
      <c r="M117" s="2" t="inlineStr">
        <is>
          <t>Nostidus4</t>
        </is>
      </c>
      <c r="N117" s="2" t="inlineStr">
        <is>
          <t>OPEN</t>
        </is>
      </c>
      <c r="O117" s="2" t="inlineStr">
        <is>
          <t>INV-002, MDT-004</t>
        </is>
      </c>
      <c r="P117" s="2">
        <f>IF(O117="",0,SUMPRODUCT(--ISNUMBER(SEARCH(", "&amp;$A$2:$A$245&amp;",",", "&amp;O117&amp;",")),--($L$2:$L$245&lt;&gt;"Done")))</f>
        <v/>
      </c>
      <c r="Q117" s="3" t="inlineStr">
        <is>
          <t>open</t>
        </is>
      </c>
    </row>
    <row r="118">
      <c r="A118" s="2" t="inlineStr">
        <is>
          <t>INV-004</t>
        </is>
      </c>
      <c r="B118" s="2" t="n">
        <v>128</v>
      </c>
      <c r="C118" s="2" t="inlineStr">
        <is>
          <t>[INVOICES] Implement document upload to private storage</t>
        </is>
      </c>
      <c r="D118" s="2" t="inlineStr">
        <is>
          <t>invoices</t>
        </is>
      </c>
      <c r="E118" s="2" t="inlineStr">
        <is>
          <t>[EPIC] M05 · Invoices &amp; Payment Requests</t>
        </is>
      </c>
      <c r="F118" s="2" t="inlineStr">
        <is>
          <t>P0</t>
        </is>
      </c>
      <c r="G118" s="2" t="inlineStr">
        <is>
          <t>M1</t>
        </is>
      </c>
      <c r="H118" s="2" t="inlineStr">
        <is>
          <t>S</t>
        </is>
      </c>
      <c r="I118" s="2">
        <f>IF(H118="S",0.5,IF(H118="M",1,IF(H118="L",2,0)))</f>
        <v/>
      </c>
      <c r="J118" s="2" t="inlineStr">
        <is>
          <t>A</t>
        </is>
      </c>
      <c r="K118" s="2" t="inlineStr">
        <is>
          <t>backend</t>
        </is>
      </c>
      <c r="L118" s="2" t="inlineStr">
        <is>
          <t>Assigned</t>
        </is>
      </c>
      <c r="M118" s="2" t="inlineStr">
        <is>
          <t>Nostidus4</t>
        </is>
      </c>
      <c r="N118" s="2" t="inlineStr">
        <is>
          <t>OPEN</t>
        </is>
      </c>
      <c r="O118" s="2" t="inlineStr">
        <is>
          <t>INV-003</t>
        </is>
      </c>
      <c r="P118" s="2">
        <f>IF(O118="",0,SUMPRODUCT(--ISNUMBER(SEARCH(", "&amp;$A$2:$A$245&amp;",",", "&amp;O118&amp;",")),--($L$2:$L$245&lt;&gt;"Done")))</f>
        <v/>
      </c>
      <c r="Q118" s="3" t="inlineStr">
        <is>
          <t>open</t>
        </is>
      </c>
    </row>
    <row r="119">
      <c r="A119" s="2" t="inlineStr">
        <is>
          <t>INV-005</t>
        </is>
      </c>
      <c r="B119" s="2" t="n">
        <v>129</v>
      </c>
      <c r="C119" s="2" t="inlineStr">
        <is>
          <t>[INVOICES] Implement CSV bulk import</t>
        </is>
      </c>
      <c r="D119" s="2" t="inlineStr">
        <is>
          <t>invoices</t>
        </is>
      </c>
      <c r="E119" s="2" t="inlineStr">
        <is>
          <t>[EPIC] M05 · Invoices &amp; Payment Requests</t>
        </is>
      </c>
      <c r="F119" s="2" t="inlineStr">
        <is>
          <t>P1</t>
        </is>
      </c>
      <c r="G119" s="2" t="inlineStr">
        <is>
          <t>M1</t>
        </is>
      </c>
      <c r="H119" s="2" t="inlineStr">
        <is>
          <t>M</t>
        </is>
      </c>
      <c r="I119" s="2">
        <f>IF(H119="S",0.5,IF(H119="M",1,IF(H119="L",2,0)))</f>
        <v/>
      </c>
      <c r="J119" s="2" t="inlineStr">
        <is>
          <t>After submission</t>
        </is>
      </c>
      <c r="K119" s="2" t="inlineStr">
        <is>
          <t>backend</t>
        </is>
      </c>
      <c r="L119" s="2" t="inlineStr">
        <is>
          <t>Assigned</t>
        </is>
      </c>
      <c r="M119" s="2" t="inlineStr">
        <is>
          <t>Nostidus4</t>
        </is>
      </c>
      <c r="N119" s="2" t="inlineStr">
        <is>
          <t>OPEN</t>
        </is>
      </c>
      <c r="O119" s="2" t="inlineStr">
        <is>
          <t>INV-003</t>
        </is>
      </c>
      <c r="P119" s="2">
        <f>IF(O119="",0,SUMPRODUCT(--ISNUMBER(SEARCH(", "&amp;$A$2:$A$245&amp;",",", "&amp;O119&amp;",")),--($L$2:$L$245&lt;&gt;"Done")))</f>
        <v/>
      </c>
      <c r="Q119" s="3" t="inlineStr">
        <is>
          <t>open</t>
        </is>
      </c>
    </row>
    <row r="120">
      <c r="A120" s="2" t="inlineStr">
        <is>
          <t>INV-006</t>
        </is>
      </c>
      <c r="B120" s="2" t="n">
        <v>119</v>
      </c>
      <c r="C120" s="2" t="inlineStr">
        <is>
          <t>[INVOICES] Compute fingerprints at intake and block duplicates</t>
        </is>
      </c>
      <c r="D120" s="2" t="inlineStr">
        <is>
          <t>invoices</t>
        </is>
      </c>
      <c r="E120" s="2" t="inlineStr">
        <is>
          <t>[EPIC] M05 · Invoices &amp; Payment Requests</t>
        </is>
      </c>
      <c r="F120" s="2" t="inlineStr">
        <is>
          <t>P0</t>
        </is>
      </c>
      <c r="G120" s="2" t="inlineStr">
        <is>
          <t>M1</t>
        </is>
      </c>
      <c r="H120" s="2" t="inlineStr">
        <is>
          <t>S</t>
        </is>
      </c>
      <c r="I120" s="2">
        <f>IF(H120="S",0.5,IF(H120="M",1,IF(H120="L",2,0)))</f>
        <v/>
      </c>
      <c r="J120" s="2" t="inlineStr">
        <is>
          <t>A</t>
        </is>
      </c>
      <c r="K120" s="2" t="inlineStr">
        <is>
          <t>backend</t>
        </is>
      </c>
      <c r="L120" s="2" t="inlineStr">
        <is>
          <t>Assigned</t>
        </is>
      </c>
      <c r="M120" s="2" t="inlineStr">
        <is>
          <t>Nostidus4</t>
        </is>
      </c>
      <c r="N120" s="2" t="inlineStr">
        <is>
          <t>OPEN</t>
        </is>
      </c>
      <c r="O120" s="2" t="inlineStr">
        <is>
          <t>INV-003, ENG-009</t>
        </is>
      </c>
      <c r="P120" s="2">
        <f>IF(O120="",0,SUMPRODUCT(--ISNUMBER(SEARCH(", "&amp;$A$2:$A$245&amp;",",", "&amp;O120&amp;",")),--($L$2:$L$245&lt;&gt;"Done")))</f>
        <v/>
      </c>
      <c r="Q120" s="3" t="inlineStr">
        <is>
          <t>open</t>
        </is>
      </c>
    </row>
    <row r="121">
      <c r="A121" s="2" t="inlineStr">
        <is>
          <t>INV-007</t>
        </is>
      </c>
      <c r="B121" s="2" t="n">
        <v>120</v>
      </c>
      <c r="C121" s="2" t="inlineStr">
        <is>
          <t>[INVOICES] Implement deterministic anomaly checks</t>
        </is>
      </c>
      <c r="D121" s="2" t="inlineStr">
        <is>
          <t>invoices</t>
        </is>
      </c>
      <c r="E121" s="2" t="inlineStr">
        <is>
          <t>[EPIC] M05 · Invoices &amp; Payment Requests</t>
        </is>
      </c>
      <c r="F121" s="2" t="inlineStr">
        <is>
          <t>P0</t>
        </is>
      </c>
      <c r="G121" s="2" t="inlineStr">
        <is>
          <t>M1</t>
        </is>
      </c>
      <c r="H121" s="2" t="inlineStr">
        <is>
          <t>M</t>
        </is>
      </c>
      <c r="I121" s="2">
        <f>IF(H121="S",0.5,IF(H121="M",1,IF(H121="L",2,0)))</f>
        <v/>
      </c>
      <c r="J121" s="2" t="inlineStr">
        <is>
          <t>A</t>
        </is>
      </c>
      <c r="K121" s="2" t="inlineStr">
        <is>
          <t>backend</t>
        </is>
      </c>
      <c r="L121" s="2" t="inlineStr">
        <is>
          <t>Assigned</t>
        </is>
      </c>
      <c r="M121" s="2" t="inlineStr">
        <is>
          <t>Nostidus4</t>
        </is>
      </c>
      <c r="N121" s="2" t="inlineStr">
        <is>
          <t>OPEN</t>
        </is>
      </c>
      <c r="O121" s="2" t="inlineStr">
        <is>
          <t>INV-006</t>
        </is>
      </c>
      <c r="P121" s="2">
        <f>IF(O121="",0,SUMPRODUCT(--ISNUMBER(SEARCH(", "&amp;$A$2:$A$245&amp;",",", "&amp;O121&amp;",")),--($L$2:$L$245&lt;&gt;"Done")))</f>
        <v/>
      </c>
      <c r="Q121" s="3" t="inlineStr">
        <is>
          <t>open</t>
        </is>
      </c>
    </row>
    <row r="122">
      <c r="A122" s="2" t="inlineStr">
        <is>
          <t>INV-008</t>
        </is>
      </c>
      <c r="B122" s="2" t="n">
        <v>121</v>
      </c>
      <c r="C122" s="2" t="inlineStr">
        <is>
          <t>[INVOICES] Implement payment-terms confirmation</t>
        </is>
      </c>
      <c r="D122" s="2" t="inlineStr">
        <is>
          <t>invoices</t>
        </is>
      </c>
      <c r="E122" s="2" t="inlineStr">
        <is>
          <t>[EPIC] M05 · Invoices &amp; Payment Requests</t>
        </is>
      </c>
      <c r="F122" s="2" t="inlineStr">
        <is>
          <t>P0</t>
        </is>
      </c>
      <c r="G122" s="2" t="inlineStr">
        <is>
          <t>M1</t>
        </is>
      </c>
      <c r="H122" s="2" t="inlineStr">
        <is>
          <t>S</t>
        </is>
      </c>
      <c r="I122" s="2">
        <f>IF(H122="S",0.5,IF(H122="M",1,IF(H122="L",2,0)))</f>
        <v/>
      </c>
      <c r="J122" s="2" t="inlineStr">
        <is>
          <t>A</t>
        </is>
      </c>
      <c r="K122" s="2" t="inlineStr">
        <is>
          <t>backend</t>
        </is>
      </c>
      <c r="L122" s="2" t="inlineStr">
        <is>
          <t>Assigned</t>
        </is>
      </c>
      <c r="M122" s="2" t="inlineStr">
        <is>
          <t>Nostidus4</t>
        </is>
      </c>
      <c r="N122" s="2" t="inlineStr">
        <is>
          <t>OPEN</t>
        </is>
      </c>
      <c r="O122" s="2" t="inlineStr">
        <is>
          <t>INV-003, ENG-005</t>
        </is>
      </c>
      <c r="P122" s="2">
        <f>IF(O122="",0,SUMPRODUCT(--ISNUMBER(SEARCH(", "&amp;$A$2:$A$245&amp;",",", "&amp;O122&amp;",")),--($L$2:$L$245&lt;&gt;"Done")))</f>
        <v/>
      </c>
      <c r="Q122" s="3" t="inlineStr">
        <is>
          <t>open</t>
        </is>
      </c>
    </row>
    <row r="123">
      <c r="A123" s="2" t="inlineStr">
        <is>
          <t>INV-009</t>
        </is>
      </c>
      <c r="B123" s="2" t="n">
        <v>122</v>
      </c>
      <c r="C123" s="2" t="inlineStr">
        <is>
          <t>[INVOICES] Implement submit-for-approval and flag acknowledgment</t>
        </is>
      </c>
      <c r="D123" s="2" t="inlineStr">
        <is>
          <t>invoices</t>
        </is>
      </c>
      <c r="E123" s="2" t="inlineStr">
        <is>
          <t>[EPIC] M05 · Invoices &amp; Payment Requests</t>
        </is>
      </c>
      <c r="F123" s="2" t="inlineStr">
        <is>
          <t>P0</t>
        </is>
      </c>
      <c r="G123" s="2" t="inlineStr">
        <is>
          <t>M1</t>
        </is>
      </c>
      <c r="H123" s="2" t="inlineStr">
        <is>
          <t>S</t>
        </is>
      </c>
      <c r="I123" s="2">
        <f>IF(H123="S",0.5,IF(H123="M",1,IF(H123="L",2,0)))</f>
        <v/>
      </c>
      <c r="J123" s="2" t="inlineStr">
        <is>
          <t>A</t>
        </is>
      </c>
      <c r="K123" s="2" t="inlineStr">
        <is>
          <t>backend</t>
        </is>
      </c>
      <c r="L123" s="2" t="inlineStr">
        <is>
          <t>Assigned</t>
        </is>
      </c>
      <c r="M123" s="2" t="inlineStr">
        <is>
          <t>Nostidus4</t>
        </is>
      </c>
      <c r="N123" s="2" t="inlineStr">
        <is>
          <t>OPEN</t>
        </is>
      </c>
      <c r="O123" s="2" t="inlineStr">
        <is>
          <t>INV-007, INV-008</t>
        </is>
      </c>
      <c r="P123" s="2">
        <f>IF(O123="",0,SUMPRODUCT(--ISNUMBER(SEARCH(", "&amp;$A$2:$A$245&amp;",",", "&amp;O123&amp;",")),--($L$2:$L$245&lt;&gt;"Done")))</f>
        <v/>
      </c>
      <c r="Q123" s="3" t="inlineStr">
        <is>
          <t>open</t>
        </is>
      </c>
    </row>
    <row r="124">
      <c r="A124" s="2" t="inlineStr">
        <is>
          <t>INV-010</t>
        </is>
      </c>
      <c r="B124" s="2" t="n">
        <v>123</v>
      </c>
      <c r="C124" s="2" t="inlineStr">
        <is>
          <t>[INVOICES] Implement approval typed data and signature verification</t>
        </is>
      </c>
      <c r="D124" s="2" t="inlineStr">
        <is>
          <t>invoices</t>
        </is>
      </c>
      <c r="E124" s="2" t="inlineStr">
        <is>
          <t>[EPIC] M05 · Invoices &amp; Payment Requests</t>
        </is>
      </c>
      <c r="F124" s="2" t="inlineStr">
        <is>
          <t>P0</t>
        </is>
      </c>
      <c r="G124" s="2" t="inlineStr">
        <is>
          <t>M1</t>
        </is>
      </c>
      <c r="H124" s="2" t="inlineStr">
        <is>
          <t>M</t>
        </is>
      </c>
      <c r="I124" s="2">
        <f>IF(H124="S",0.5,IF(H124="M",1,IF(H124="L",2,0)))</f>
        <v/>
      </c>
      <c r="J124" s="2" t="inlineStr">
        <is>
          <t>A</t>
        </is>
      </c>
      <c r="K124" s="2" t="inlineStr">
        <is>
          <t>backend</t>
        </is>
      </c>
      <c r="L124" s="2" t="inlineStr">
        <is>
          <t>Assigned</t>
        </is>
      </c>
      <c r="M124" s="2" t="inlineStr">
        <is>
          <t>Nostidus4</t>
        </is>
      </c>
      <c r="N124" s="2" t="inlineStr">
        <is>
          <t>OPEN</t>
        </is>
      </c>
      <c r="O124" s="2" t="inlineStr">
        <is>
          <t>INV-009, ENG-010, IDN-008</t>
        </is>
      </c>
      <c r="P124" s="2">
        <f>IF(O124="",0,SUMPRODUCT(--ISNUMBER(SEARCH(", "&amp;$A$2:$A$245&amp;",",", "&amp;O124&amp;",")),--($L$2:$L$245&lt;&gt;"Done")))</f>
        <v/>
      </c>
      <c r="Q124" s="3" t="inlineStr">
        <is>
          <t>open</t>
        </is>
      </c>
    </row>
    <row r="125">
      <c r="A125" s="2" t="inlineStr">
        <is>
          <t>INV-011</t>
        </is>
      </c>
      <c r="B125" s="2" t="n">
        <v>130</v>
      </c>
      <c r="C125" s="2" t="inlineStr">
        <is>
          <t>[INVOICES] Implement reject, cancel, invalidation and expiry</t>
        </is>
      </c>
      <c r="D125" s="2" t="inlineStr">
        <is>
          <t>invoices</t>
        </is>
      </c>
      <c r="E125" s="2" t="inlineStr">
        <is>
          <t>[EPIC] M05 · Invoices &amp; Payment Requests</t>
        </is>
      </c>
      <c r="F125" s="2" t="inlineStr">
        <is>
          <t>P0</t>
        </is>
      </c>
      <c r="G125" s="2" t="inlineStr">
        <is>
          <t>M1</t>
        </is>
      </c>
      <c r="H125" s="2" t="inlineStr">
        <is>
          <t>S</t>
        </is>
      </c>
      <c r="I125" s="2">
        <f>IF(H125="S",0.5,IF(H125="M",1,IF(H125="L",2,0)))</f>
        <v/>
      </c>
      <c r="J125" s="2" t="inlineStr">
        <is>
          <t>B</t>
        </is>
      </c>
      <c r="K125" s="2" t="inlineStr">
        <is>
          <t>backend</t>
        </is>
      </c>
      <c r="L125" s="2" t="inlineStr">
        <is>
          <t>Assigned</t>
        </is>
      </c>
      <c r="M125" s="2" t="inlineStr">
        <is>
          <t>Nostidus4</t>
        </is>
      </c>
      <c r="N125" s="2" t="inlineStr">
        <is>
          <t>OPEN</t>
        </is>
      </c>
      <c r="O125" s="2" t="inlineStr">
        <is>
          <t>INV-010, SC-022, MDT-009</t>
        </is>
      </c>
      <c r="P125" s="2">
        <f>IF(O125="",0,SUMPRODUCT(--ISNUMBER(SEARCH(", "&amp;$A$2:$A$245&amp;",",", "&amp;O125&amp;",")),--($L$2:$L$245&lt;&gt;"Done")))</f>
        <v/>
      </c>
      <c r="Q125" s="3" t="inlineStr">
        <is>
          <t>open</t>
        </is>
      </c>
    </row>
    <row r="126">
      <c r="A126" s="2" t="inlineStr">
        <is>
          <t>INV-012</t>
        </is>
      </c>
      <c r="B126" s="2" t="n">
        <v>246</v>
      </c>
      <c r="C126" s="2" t="inlineStr">
        <is>
          <t>[INVOICES] Detect near-duplicate requests</t>
        </is>
      </c>
      <c r="D126" s="2" t="inlineStr">
        <is>
          <t>invoices</t>
        </is>
      </c>
      <c r="E126" s="2" t="inlineStr">
        <is>
          <t>[EPIC] M05 · Invoices &amp; Payment Requests</t>
        </is>
      </c>
      <c r="F126" s="2" t="inlineStr">
        <is>
          <t>P0</t>
        </is>
      </c>
      <c r="G126" s="2" t="inlineStr">
        <is>
          <t>M1</t>
        </is>
      </c>
      <c r="H126" s="2" t="inlineStr">
        <is>
          <t>S</t>
        </is>
      </c>
      <c r="I126" s="2">
        <f>IF(H126="S",0.5,IF(H126="M",1,IF(H126="L",2,0)))</f>
        <v/>
      </c>
      <c r="J126" s="2" t="inlineStr">
        <is>
          <t>A</t>
        </is>
      </c>
      <c r="K126" s="2" t="inlineStr">
        <is>
          <t>backend</t>
        </is>
      </c>
      <c r="L126" s="2" t="inlineStr">
        <is>
          <t>Assigned</t>
        </is>
      </c>
      <c r="M126" s="2" t="inlineStr">
        <is>
          <t>Nostidus4</t>
        </is>
      </c>
      <c r="N126" s="2" t="inlineStr">
        <is>
          <t>OPEN</t>
        </is>
      </c>
      <c r="O126" s="2" t="inlineStr">
        <is>
          <t>INV-006</t>
        </is>
      </c>
      <c r="P126" s="2">
        <f>IF(O126="",0,SUMPRODUCT(--ISNUMBER(SEARCH(", "&amp;$A$2:$A$245&amp;",",", "&amp;O126&amp;",")),--($L$2:$L$245&lt;&gt;"Done")))</f>
        <v/>
      </c>
      <c r="Q126" s="3" t="inlineStr">
        <is>
          <t>open</t>
        </is>
      </c>
    </row>
    <row r="127">
      <c r="A127" s="2" t="inlineStr">
        <is>
          <t>INV-L01</t>
        </is>
      </c>
      <c r="B127" s="2" t="n">
        <v>136</v>
      </c>
      <c r="C127" s="2" t="inlineStr">
        <is>
          <t>[INVOICES] Add the email-forwarding invoice inbox</t>
        </is>
      </c>
      <c r="D127" s="2" t="inlineStr">
        <is>
          <t>invoices</t>
        </is>
      </c>
      <c r="E127" s="2" t="inlineStr">
        <is>
          <t>[EPIC] M05 · Invoices &amp; Payment Requests</t>
        </is>
      </c>
      <c r="F127" s="2" t="inlineStr">
        <is>
          <t>—</t>
        </is>
      </c>
      <c r="G127" s="2" t="inlineStr">
        <is>
          <t>Later</t>
        </is>
      </c>
      <c r="H127" s="2" t="inlineStr">
        <is>
          <t>L</t>
        </is>
      </c>
      <c r="I127" s="2">
        <f>IF(H127="S",0.5,IF(H127="M",1,IF(H127="L",2,0)))</f>
        <v/>
      </c>
      <c r="J127" s="2" t="inlineStr">
        <is>
          <t>Later</t>
        </is>
      </c>
      <c r="K127" s="2" t="inlineStr">
        <is>
          <t>backend</t>
        </is>
      </c>
      <c r="L127" s="2" t="inlineStr">
        <is>
          <t>Accepted</t>
        </is>
      </c>
      <c r="M127" s="2" t="inlineStr"/>
      <c r="N127" s="2" t="inlineStr">
        <is>
          <t>OPEN</t>
        </is>
      </c>
      <c r="O127" s="2" t="inlineStr">
        <is>
          <t>INV-004, AGT-004</t>
        </is>
      </c>
      <c r="P127" s="2">
        <f>IF(O127="",0,SUMPRODUCT(--ISNUMBER(SEARCH(", "&amp;$A$2:$A$245&amp;",",", "&amp;O127&amp;",")),--($L$2:$L$245&lt;&gt;"Done")))</f>
        <v/>
      </c>
      <c r="Q127" s="3" t="inlineStr">
        <is>
          <t>open</t>
        </is>
      </c>
    </row>
    <row r="128">
      <c r="A128" s="2" t="inlineStr">
        <is>
          <t>INV-L02</t>
        </is>
      </c>
      <c r="B128" s="2" t="n">
        <v>137</v>
      </c>
      <c r="C128" s="2" t="inlineStr">
        <is>
          <t>[INVOICES] Add the inbound invoice API with scoped keys</t>
        </is>
      </c>
      <c r="D128" s="2" t="inlineStr">
        <is>
          <t>invoices</t>
        </is>
      </c>
      <c r="E128" s="2" t="inlineStr">
        <is>
          <t>[EPIC] M05 · Invoices &amp; Payment Requests</t>
        </is>
      </c>
      <c r="F128" s="2" t="inlineStr">
        <is>
          <t>—</t>
        </is>
      </c>
      <c r="G128" s="2" t="inlineStr">
        <is>
          <t>Later</t>
        </is>
      </c>
      <c r="H128" s="2" t="inlineStr">
        <is>
          <t>M</t>
        </is>
      </c>
      <c r="I128" s="2">
        <f>IF(H128="S",0.5,IF(H128="M",1,IF(H128="L",2,0)))</f>
        <v/>
      </c>
      <c r="J128" s="2" t="inlineStr">
        <is>
          <t>Later</t>
        </is>
      </c>
      <c r="K128" s="2" t="inlineStr">
        <is>
          <t>backend</t>
        </is>
      </c>
      <c r="L128" s="2" t="inlineStr">
        <is>
          <t>Accepted</t>
        </is>
      </c>
      <c r="M128" s="2" t="inlineStr"/>
      <c r="N128" s="2" t="inlineStr">
        <is>
          <t>OPEN</t>
        </is>
      </c>
      <c r="O128" s="2" t="inlineStr">
        <is>
          <t>INV-003</t>
        </is>
      </c>
      <c r="P128" s="2">
        <f>IF(O128="",0,SUMPRODUCT(--ISNUMBER(SEARCH(", "&amp;$A$2:$A$245&amp;",",", "&amp;O128&amp;",")),--($L$2:$L$245&lt;&gt;"Done")))</f>
        <v/>
      </c>
      <c r="Q128" s="3" t="inlineStr">
        <is>
          <t>open</t>
        </is>
      </c>
    </row>
    <row r="129">
      <c r="A129" s="2" t="inlineStr">
        <is>
          <t>INV-L03</t>
        </is>
      </c>
      <c r="B129" s="2" t="n">
        <v>138</v>
      </c>
      <c r="C129" s="2" t="inlineStr">
        <is>
          <t>[INVOICES] Add recurring payment schedules</t>
        </is>
      </c>
      <c r="D129" s="2" t="inlineStr">
        <is>
          <t>invoices</t>
        </is>
      </c>
      <c r="E129" s="2" t="inlineStr">
        <is>
          <t>[EPIC] M05 · Invoices &amp; Payment Requests</t>
        </is>
      </c>
      <c r="F129" s="2" t="inlineStr">
        <is>
          <t>—</t>
        </is>
      </c>
      <c r="G129" s="2" t="inlineStr">
        <is>
          <t>Later</t>
        </is>
      </c>
      <c r="H129" s="2" t="inlineStr">
        <is>
          <t>M</t>
        </is>
      </c>
      <c r="I129" s="2">
        <f>IF(H129="S",0.5,IF(H129="M",1,IF(H129="L",2,0)))</f>
        <v/>
      </c>
      <c r="J129" s="2" t="inlineStr">
        <is>
          <t>Later</t>
        </is>
      </c>
      <c r="K129" s="2" t="inlineStr">
        <is>
          <t>backend</t>
        </is>
      </c>
      <c r="L129" s="2" t="inlineStr">
        <is>
          <t>Accepted</t>
        </is>
      </c>
      <c r="M129" s="2" t="inlineStr"/>
      <c r="N129" s="2" t="inlineStr">
        <is>
          <t>OPEN</t>
        </is>
      </c>
      <c r="O129" s="2" t="inlineStr">
        <is>
          <t>INV-003</t>
        </is>
      </c>
      <c r="P129" s="2">
        <f>IF(O129="",0,SUMPRODUCT(--ISNUMBER(SEARCH(", "&amp;$A$2:$A$245&amp;",",", "&amp;O129&amp;",")),--($L$2:$L$245&lt;&gt;"Done")))</f>
        <v/>
      </c>
      <c r="Q129" s="3" t="inlineStr">
        <is>
          <t>open</t>
        </is>
      </c>
    </row>
    <row r="130">
      <c r="A130" s="2" t="inlineStr">
        <is>
          <t>INV-L04</t>
        </is>
      </c>
      <c r="B130" s="2" t="n">
        <v>139</v>
      </c>
      <c r="C130" s="2" t="inlineStr">
        <is>
          <t>[INVOICES] Support fiat-denominated invoices</t>
        </is>
      </c>
      <c r="D130" s="2" t="inlineStr">
        <is>
          <t>invoices</t>
        </is>
      </c>
      <c r="E130" s="2" t="inlineStr">
        <is>
          <t>[EPIC] M05 · Invoices &amp; Payment Requests</t>
        </is>
      </c>
      <c r="F130" s="2" t="inlineStr">
        <is>
          <t>—</t>
        </is>
      </c>
      <c r="G130" s="2" t="inlineStr">
        <is>
          <t>Later</t>
        </is>
      </c>
      <c r="H130" s="2" t="inlineStr">
        <is>
          <t>L</t>
        </is>
      </c>
      <c r="I130" s="2">
        <f>IF(H130="S",0.5,IF(H130="M",1,IF(H130="L",2,0)))</f>
        <v/>
      </c>
      <c r="J130" s="2" t="inlineStr">
        <is>
          <t>Later</t>
        </is>
      </c>
      <c r="K130" s="2" t="inlineStr">
        <is>
          <t>backend</t>
        </is>
      </c>
      <c r="L130" s="2" t="inlineStr">
        <is>
          <t>Accepted</t>
        </is>
      </c>
      <c r="M130" s="2" t="inlineStr"/>
      <c r="N130" s="2" t="inlineStr">
        <is>
          <t>OPEN</t>
        </is>
      </c>
      <c r="O130" s="2" t="inlineStr">
        <is>
          <t>INV-003, ENG-L02</t>
        </is>
      </c>
      <c r="P130" s="2">
        <f>IF(O130="",0,SUMPRODUCT(--ISNUMBER(SEARCH(", "&amp;$A$2:$A$245&amp;",",", "&amp;O130&amp;",")),--($L$2:$L$245&lt;&gt;"Done")))</f>
        <v/>
      </c>
      <c r="Q130" s="3" t="inlineStr">
        <is>
          <t>open</t>
        </is>
      </c>
    </row>
    <row r="131">
      <c r="A131" s="2" t="inlineStr">
        <is>
          <t>MDT-001</t>
        </is>
      </c>
      <c r="B131" s="2" t="n">
        <v>41</v>
      </c>
      <c r="C131" s="2" t="inlineStr">
        <is>
          <t>[MANDATE] Create mandate, payee and exception schema</t>
        </is>
      </c>
      <c r="D131" s="2" t="inlineStr">
        <is>
          <t>mandate</t>
        </is>
      </c>
      <c r="E131" s="2" t="inlineStr">
        <is>
          <t>[EPIC] M03 · Mandate, Payees, Exceptions &amp; Pause</t>
        </is>
      </c>
      <c r="F131" s="2" t="inlineStr">
        <is>
          <t>P0</t>
        </is>
      </c>
      <c r="G131" s="2" t="inlineStr">
        <is>
          <t>M1</t>
        </is>
      </c>
      <c r="H131" s="2" t="inlineStr">
        <is>
          <t>S</t>
        </is>
      </c>
      <c r="I131" s="2">
        <f>IF(H131="S",0.5,IF(H131="M",1,IF(H131="L",2,0)))</f>
        <v/>
      </c>
      <c r="J131" s="2" t="inlineStr">
        <is>
          <t>A</t>
        </is>
      </c>
      <c r="K131" s="2" t="inlineStr">
        <is>
          <t>backend</t>
        </is>
      </c>
      <c r="L131" s="2" t="inlineStr">
        <is>
          <t>Assigned</t>
        </is>
      </c>
      <c r="M131" s="2" t="inlineStr">
        <is>
          <t>Nostidus4</t>
        </is>
      </c>
      <c r="N131" s="2" t="inlineStr">
        <is>
          <t>OPEN</t>
        </is>
      </c>
      <c r="O131" s="2" t="inlineStr">
        <is>
          <t>TRS-001</t>
        </is>
      </c>
      <c r="P131" s="2">
        <f>IF(O131="",0,SUMPRODUCT(--ISNUMBER(SEARCH(", "&amp;$A$2:$A$245&amp;",",", "&amp;O131&amp;",")),--($L$2:$L$245&lt;&gt;"Done")))</f>
        <v/>
      </c>
      <c r="Q131" s="3" t="inlineStr">
        <is>
          <t>open</t>
        </is>
      </c>
    </row>
    <row r="132">
      <c r="A132" s="2" t="inlineStr">
        <is>
          <t>MDT-002</t>
        </is>
      </c>
      <c r="B132" s="2" t="n">
        <v>43</v>
      </c>
      <c r="C132" s="2" t="inlineStr">
        <is>
          <t>[MANDATE] Validate mandate drafts and generate summary and diff</t>
        </is>
      </c>
      <c r="D132" s="2" t="inlineStr">
        <is>
          <t>mandate</t>
        </is>
      </c>
      <c r="E132" s="2" t="inlineStr">
        <is>
          <t>[EPIC] M03 · Mandate, Payees, Exceptions &amp; Pause</t>
        </is>
      </c>
      <c r="F132" s="2" t="inlineStr">
        <is>
          <t>P0</t>
        </is>
      </c>
      <c r="G132" s="2" t="inlineStr">
        <is>
          <t>M1</t>
        </is>
      </c>
      <c r="H132" s="2" t="inlineStr">
        <is>
          <t>M</t>
        </is>
      </c>
      <c r="I132" s="2">
        <f>IF(H132="S",0.5,IF(H132="M",1,IF(H132="L",2,0)))</f>
        <v/>
      </c>
      <c r="J132" s="2" t="inlineStr">
        <is>
          <t>A</t>
        </is>
      </c>
      <c r="K132" s="2" t="inlineStr">
        <is>
          <t>backend</t>
        </is>
      </c>
      <c r="L132" s="2" t="inlineStr">
        <is>
          <t>Assigned</t>
        </is>
      </c>
      <c r="M132" s="2" t="inlineStr">
        <is>
          <t>Nostidus4</t>
        </is>
      </c>
      <c r="N132" s="2" t="inlineStr">
        <is>
          <t>OPEN</t>
        </is>
      </c>
      <c r="O132" s="2" t="inlineStr">
        <is>
          <t>MDT-001, ENG-001</t>
        </is>
      </c>
      <c r="P132" s="2">
        <f>IF(O132="",0,SUMPRODUCT(--ISNUMBER(SEARCH(", "&amp;$A$2:$A$245&amp;",",", "&amp;O132&amp;",")),--($L$2:$L$245&lt;&gt;"Done")))</f>
        <v/>
      </c>
      <c r="Q132" s="3" t="inlineStr">
        <is>
          <t>open</t>
        </is>
      </c>
    </row>
    <row r="133">
      <c r="A133" s="2" t="inlineStr">
        <is>
          <t>MDT-003</t>
        </is>
      </c>
      <c r="B133" s="2" t="n">
        <v>48</v>
      </c>
      <c r="C133" s="2" t="inlineStr">
        <is>
          <t>[MANDATE] Implement mandate activation and read-back</t>
        </is>
      </c>
      <c r="D133" s="2" t="inlineStr">
        <is>
          <t>mandate</t>
        </is>
      </c>
      <c r="E133" s="2" t="inlineStr">
        <is>
          <t>[EPIC] M03 · Mandate, Payees, Exceptions &amp; Pause</t>
        </is>
      </c>
      <c r="F133" s="2" t="inlineStr">
        <is>
          <t>P0</t>
        </is>
      </c>
      <c r="G133" s="2" t="inlineStr">
        <is>
          <t>M1</t>
        </is>
      </c>
      <c r="H133" s="2" t="inlineStr">
        <is>
          <t>M</t>
        </is>
      </c>
      <c r="I133" s="2">
        <f>IF(H133="S",0.5,IF(H133="M",1,IF(H133="L",2,0)))</f>
        <v/>
      </c>
      <c r="J133" s="2" t="inlineStr">
        <is>
          <t>A</t>
        </is>
      </c>
      <c r="K133" s="2" t="inlineStr">
        <is>
          <t>backend</t>
        </is>
      </c>
      <c r="L133" s="2" t="inlineStr">
        <is>
          <t>Assigned</t>
        </is>
      </c>
      <c r="M133" s="2" t="inlineStr">
        <is>
          <t>Nostidus4</t>
        </is>
      </c>
      <c r="N133" s="2" t="inlineStr">
        <is>
          <t>OPEN</t>
        </is>
      </c>
      <c r="O133" s="2" t="inlineStr">
        <is>
          <t>MDT-002, MDT-009, TRS-006, CHR-003</t>
        </is>
      </c>
      <c r="P133" s="2">
        <f>IF(O133="",0,SUMPRODUCT(--ISNUMBER(SEARCH(", "&amp;$A$2:$A$245&amp;",",", "&amp;O133&amp;",")),--($L$2:$L$245&lt;&gt;"Done")))</f>
        <v/>
      </c>
      <c r="Q133" s="3" t="inlineStr">
        <is>
          <t>open</t>
        </is>
      </c>
    </row>
    <row r="134">
      <c r="A134" s="2" t="inlineStr">
        <is>
          <t>MDT-004</t>
        </is>
      </c>
      <c r="B134" s="2" t="n">
        <v>51</v>
      </c>
      <c r="C134" s="2" t="inlineStr">
        <is>
          <t>[MANDATE] Implement vendor and payee proposals with screening</t>
        </is>
      </c>
      <c r="D134" s="2" t="inlineStr">
        <is>
          <t>mandate</t>
        </is>
      </c>
      <c r="E134" s="2" t="inlineStr">
        <is>
          <t>[EPIC] M03 · Mandate, Payees, Exceptions &amp; Pause</t>
        </is>
      </c>
      <c r="F134" s="2" t="inlineStr">
        <is>
          <t>P0</t>
        </is>
      </c>
      <c r="G134" s="2" t="inlineStr">
        <is>
          <t>M1</t>
        </is>
      </c>
      <c r="H134" s="2" t="inlineStr">
        <is>
          <t>M</t>
        </is>
      </c>
      <c r="I134" s="2">
        <f>IF(H134="S",0.5,IF(H134="M",1,IF(H134="L",2,0)))</f>
        <v/>
      </c>
      <c r="J134" s="2" t="inlineStr">
        <is>
          <t>A</t>
        </is>
      </c>
      <c r="K134" s="2" t="inlineStr">
        <is>
          <t>backend</t>
        </is>
      </c>
      <c r="L134" s="2" t="inlineStr">
        <is>
          <t>Assigned</t>
        </is>
      </c>
      <c r="M134" s="2" t="inlineStr">
        <is>
          <t>Nostidus4</t>
        </is>
      </c>
      <c r="N134" s="2" t="inlineStr">
        <is>
          <t>OPEN</t>
        </is>
      </c>
      <c r="O134" s="2" t="inlineStr">
        <is>
          <t>MDT-001, CMP-001</t>
        </is>
      </c>
      <c r="P134" s="2">
        <f>IF(O134="",0,SUMPRODUCT(--ISNUMBER(SEARCH(", "&amp;$A$2:$A$245&amp;",",", "&amp;O134&amp;",")),--($L$2:$L$245&lt;&gt;"Done")))</f>
        <v/>
      </c>
      <c r="Q134" s="3" t="inlineStr">
        <is>
          <t>open</t>
        </is>
      </c>
    </row>
    <row r="135">
      <c r="A135" s="2" t="inlineStr">
        <is>
          <t>MDT-005</t>
        </is>
      </c>
      <c r="B135" s="2" t="n">
        <v>118</v>
      </c>
      <c r="C135" s="2" t="inlineStr">
        <is>
          <t>[MANDATE] Build payee registration and deactivation transactions and sync status</t>
        </is>
      </c>
      <c r="D135" s="2" t="inlineStr">
        <is>
          <t>mandate</t>
        </is>
      </c>
      <c r="E135" s="2" t="inlineStr">
        <is>
          <t>[EPIC] M03 · Mandate, Payees, Exceptions &amp; Pause</t>
        </is>
      </c>
      <c r="F135" s="2" t="inlineStr">
        <is>
          <t>P0</t>
        </is>
      </c>
      <c r="G135" s="2" t="inlineStr">
        <is>
          <t>M1</t>
        </is>
      </c>
      <c r="H135" s="2" t="inlineStr">
        <is>
          <t>M</t>
        </is>
      </c>
      <c r="I135" s="2">
        <f>IF(H135="S",0.5,IF(H135="M",1,IF(H135="L",2,0)))</f>
        <v/>
      </c>
      <c r="J135" s="2" t="inlineStr">
        <is>
          <t>B</t>
        </is>
      </c>
      <c r="K135" s="2" t="inlineStr">
        <is>
          <t>backend</t>
        </is>
      </c>
      <c r="L135" s="2" t="inlineStr">
        <is>
          <t>Assigned</t>
        </is>
      </c>
      <c r="M135" s="2" t="inlineStr">
        <is>
          <t>Nostidus4</t>
        </is>
      </c>
      <c r="N135" s="2" t="inlineStr">
        <is>
          <t>OPEN</t>
        </is>
      </c>
      <c r="O135" s="2" t="inlineStr">
        <is>
          <t>MDT-004, MDT-009, CHR-005</t>
        </is>
      </c>
      <c r="P135" s="2">
        <f>IF(O135="",0,SUMPRODUCT(--ISNUMBER(SEARCH(", "&amp;$A$2:$A$245&amp;",",", "&amp;O135&amp;",")),--($L$2:$L$245&lt;&gt;"Done")))</f>
        <v/>
      </c>
      <c r="Q135" s="3" t="inlineStr">
        <is>
          <t>open</t>
        </is>
      </c>
    </row>
    <row r="136">
      <c r="A136" s="2" t="inlineStr">
        <is>
          <t>MDT-006</t>
        </is>
      </c>
      <c r="B136" s="2" t="n">
        <v>124</v>
      </c>
      <c r="C136" s="2" t="inlineStr">
        <is>
          <t>[MANDATE] Implement one-time exception requests and owner grant transactions</t>
        </is>
      </c>
      <c r="D136" s="2" t="inlineStr">
        <is>
          <t>mandate</t>
        </is>
      </c>
      <c r="E136" s="2" t="inlineStr">
        <is>
          <t>[EPIC] M03 · Mandate, Payees, Exceptions &amp; Pause</t>
        </is>
      </c>
      <c r="F136" s="2" t="inlineStr">
        <is>
          <t>P1</t>
        </is>
      </c>
      <c r="G136" s="2" t="inlineStr">
        <is>
          <t>M1</t>
        </is>
      </c>
      <c r="H136" s="2" t="inlineStr">
        <is>
          <t>M</t>
        </is>
      </c>
      <c r="I136" s="2">
        <f>IF(H136="S",0.5,IF(H136="M",1,IF(H136="L",2,0)))</f>
        <v/>
      </c>
      <c r="J136" s="2" t="inlineStr">
        <is>
          <t>B</t>
        </is>
      </c>
      <c r="K136" s="2" t="inlineStr">
        <is>
          <t>backend</t>
        </is>
      </c>
      <c r="L136" s="2" t="inlineStr">
        <is>
          <t>Assigned</t>
        </is>
      </c>
      <c r="M136" s="2" t="inlineStr">
        <is>
          <t>Nostidus4</t>
        </is>
      </c>
      <c r="N136" s="2" t="inlineStr">
        <is>
          <t>OPEN</t>
        </is>
      </c>
      <c r="O136" s="2" t="inlineStr">
        <is>
          <t>MDT-003, MDT-009, INV-010</t>
        </is>
      </c>
      <c r="P136" s="2">
        <f>IF(O136="",0,SUMPRODUCT(--ISNUMBER(SEARCH(", "&amp;$A$2:$A$245&amp;",",", "&amp;O136&amp;",")),--($L$2:$L$245&lt;&gt;"Done")))</f>
        <v/>
      </c>
      <c r="Q136" s="3" t="inlineStr">
        <is>
          <t>open</t>
        </is>
      </c>
    </row>
    <row r="137">
      <c r="A137" s="2" t="inlineStr">
        <is>
          <t>MDT-007</t>
        </is>
      </c>
      <c r="B137" s="2" t="n">
        <v>125</v>
      </c>
      <c r="C137" s="2" t="inlineStr">
        <is>
          <t>[MANDATE] Implement pause and resume (backend and transactions)</t>
        </is>
      </c>
      <c r="D137" s="2" t="inlineStr">
        <is>
          <t>mandate</t>
        </is>
      </c>
      <c r="E137" s="2" t="inlineStr">
        <is>
          <t>[EPIC] M03 · Mandate, Payees, Exceptions &amp; Pause</t>
        </is>
      </c>
      <c r="F137" s="2" t="inlineStr">
        <is>
          <t>P0</t>
        </is>
      </c>
      <c r="G137" s="2" t="inlineStr">
        <is>
          <t>M1</t>
        </is>
      </c>
      <c r="H137" s="2" t="inlineStr">
        <is>
          <t>M</t>
        </is>
      </c>
      <c r="I137" s="2">
        <f>IF(H137="S",0.5,IF(H137="M",1,IF(H137="L",2,0)))</f>
        <v/>
      </c>
      <c r="J137" s="2" t="inlineStr">
        <is>
          <t>A</t>
        </is>
      </c>
      <c r="K137" s="2" t="inlineStr">
        <is>
          <t>backend</t>
        </is>
      </c>
      <c r="L137" s="2" t="inlineStr">
        <is>
          <t>Assigned</t>
        </is>
      </c>
      <c r="M137" s="2" t="inlineStr">
        <is>
          <t>Nostidus4</t>
        </is>
      </c>
      <c r="N137" s="2" t="inlineStr">
        <is>
          <t>OPEN</t>
        </is>
      </c>
      <c r="O137" s="2" t="inlineStr">
        <is>
          <t>MDT-003, MDT-009, EXE-013</t>
        </is>
      </c>
      <c r="P137" s="2">
        <f>IF(O137="",0,SUMPRODUCT(--ISNUMBER(SEARCH(", "&amp;$A$2:$A$245&amp;",",", "&amp;O137&amp;",")),--($L$2:$L$245&lt;&gt;"Done")))</f>
        <v/>
      </c>
      <c r="Q137" s="3" t="inlineStr">
        <is>
          <t>open</t>
        </is>
      </c>
    </row>
    <row r="138">
      <c r="A138" s="2" t="inlineStr">
        <is>
          <t>MDT-008</t>
        </is>
      </c>
      <c r="B138" s="2" t="n">
        <v>126</v>
      </c>
      <c r="C138" s="2" t="inlineStr">
        <is>
          <t>[MANDATE] Sync mandate expiry and status</t>
        </is>
      </c>
      <c r="D138" s="2" t="inlineStr">
        <is>
          <t>mandate</t>
        </is>
      </c>
      <c r="E138" s="2" t="inlineStr">
        <is>
          <t>[EPIC] M03 · Mandate, Payees, Exceptions &amp; Pause</t>
        </is>
      </c>
      <c r="F138" s="2" t="inlineStr">
        <is>
          <t>P1</t>
        </is>
      </c>
      <c r="G138" s="2" t="inlineStr">
        <is>
          <t>M1</t>
        </is>
      </c>
      <c r="H138" s="2" t="inlineStr">
        <is>
          <t>S</t>
        </is>
      </c>
      <c r="I138" s="2">
        <f>IF(H138="S",0.5,IF(H138="M",1,IF(H138="L",2,0)))</f>
        <v/>
      </c>
      <c r="J138" s="2" t="inlineStr">
        <is>
          <t>After submission</t>
        </is>
      </c>
      <c r="K138" s="2" t="inlineStr">
        <is>
          <t>backend</t>
        </is>
      </c>
      <c r="L138" s="2" t="inlineStr">
        <is>
          <t>Assigned</t>
        </is>
      </c>
      <c r="M138" s="2" t="inlineStr">
        <is>
          <t>Nostidus4</t>
        </is>
      </c>
      <c r="N138" s="2" t="inlineStr">
        <is>
          <t>OPEN</t>
        </is>
      </c>
      <c r="O138" s="2" t="inlineStr">
        <is>
          <t>MDT-003</t>
        </is>
      </c>
      <c r="P138" s="2">
        <f>IF(O138="",0,SUMPRODUCT(--ISNUMBER(SEARCH(", "&amp;$A$2:$A$245&amp;",",", "&amp;O138&amp;",")),--($L$2:$L$245&lt;&gt;"Done")))</f>
        <v/>
      </c>
      <c r="Q138" s="3" t="inlineStr">
        <is>
          <t>open</t>
        </is>
      </c>
    </row>
    <row r="139">
      <c r="A139" s="2" t="inlineStr">
        <is>
          <t>MDT-009</t>
        </is>
      </c>
      <c r="B139" s="2" t="n">
        <v>247</v>
      </c>
      <c r="C139" s="2" t="inlineStr">
        <is>
          <t>[MANDATE] Build governance transactions and collect owner signatures in the app</t>
        </is>
      </c>
      <c r="D139" s="2" t="inlineStr">
        <is>
          <t>mandate</t>
        </is>
      </c>
      <c r="E139" s="2" t="inlineStr">
        <is>
          <t>[EPIC] M03 · Mandate, Payees, Exceptions &amp; Pause</t>
        </is>
      </c>
      <c r="F139" s="2" t="inlineStr">
        <is>
          <t>P0</t>
        </is>
      </c>
      <c r="G139" s="2" t="inlineStr">
        <is>
          <t>M1</t>
        </is>
      </c>
      <c r="H139" s="2" t="inlineStr">
        <is>
          <t>L</t>
        </is>
      </c>
      <c r="I139" s="2">
        <f>IF(H139="S",0.5,IF(H139="M",1,IF(H139="L",2,0)))</f>
        <v/>
      </c>
      <c r="J139" s="2" t="inlineStr">
        <is>
          <t>A</t>
        </is>
      </c>
      <c r="K139" s="2" t="inlineStr">
        <is>
          <t>backend</t>
        </is>
      </c>
      <c r="L139" s="2" t="inlineStr">
        <is>
          <t>Assigned</t>
        </is>
      </c>
      <c r="M139" s="2" t="inlineStr">
        <is>
          <t>Nostidus4</t>
        </is>
      </c>
      <c r="N139" s="2" t="inlineStr">
        <is>
          <t>OPEN</t>
        </is>
      </c>
      <c r="O139" s="2" t="inlineStr">
        <is>
          <t>MDT-001, TRS-005</t>
        </is>
      </c>
      <c r="P139" s="2">
        <f>IF(O139="",0,SUMPRODUCT(--ISNUMBER(SEARCH(", "&amp;$A$2:$A$245&amp;",",", "&amp;O139&amp;",")),--($L$2:$L$245&lt;&gt;"Done")))</f>
        <v/>
      </c>
      <c r="Q139" s="3" t="inlineStr">
        <is>
          <t>open</t>
        </is>
      </c>
    </row>
    <row r="140">
      <c r="A140" s="2" t="inlineStr">
        <is>
          <t>MDT-010</t>
        </is>
      </c>
      <c r="B140" s="2" t="n">
        <v>251</v>
      </c>
      <c r="C140" s="2" t="inlineStr">
        <is>
          <t>[MANDATE] Set up the Guardian Safe with the sentinel</t>
        </is>
      </c>
      <c r="D140" s="2" t="inlineStr">
        <is>
          <t>mandate</t>
        </is>
      </c>
      <c r="E140" s="2" t="inlineStr">
        <is>
          <t>[EPIC] M03 · Mandate, Payees, Exceptions &amp; Pause</t>
        </is>
      </c>
      <c r="F140" s="2" t="inlineStr">
        <is>
          <t>P0</t>
        </is>
      </c>
      <c r="G140" s="2" t="inlineStr">
        <is>
          <t>M1</t>
        </is>
      </c>
      <c r="H140" s="2" t="inlineStr">
        <is>
          <t>S</t>
        </is>
      </c>
      <c r="I140" s="2">
        <f>IF(H140="S",0.5,IF(H140="M",1,IF(H140="L",2,0)))</f>
        <v/>
      </c>
      <c r="J140" s="2" t="inlineStr">
        <is>
          <t>A</t>
        </is>
      </c>
      <c r="K140" s="2" t="inlineStr">
        <is>
          <t>backend</t>
        </is>
      </c>
      <c r="L140" s="2" t="inlineStr">
        <is>
          <t>Assigned</t>
        </is>
      </c>
      <c r="M140" s="2" t="inlineStr">
        <is>
          <t>Nostidus4</t>
        </is>
      </c>
      <c r="N140" s="2" t="inlineStr">
        <is>
          <t>OPEN</t>
        </is>
      </c>
      <c r="O140" s="2" t="inlineStr">
        <is>
          <t>MDT-009, EXE-013, TRS-006</t>
        </is>
      </c>
      <c r="P140" s="2">
        <f>IF(O140="",0,SUMPRODUCT(--ISNUMBER(SEARCH(", "&amp;$A$2:$A$245&amp;",",", "&amp;O140&amp;",")),--($L$2:$L$245&lt;&gt;"Done")))</f>
        <v/>
      </c>
      <c r="Q140" s="3" t="inlineStr">
        <is>
          <t>open</t>
        </is>
      </c>
    </row>
    <row r="141">
      <c r="A141" s="2" t="inlineStr">
        <is>
          <t>MDT-011</t>
        </is>
      </c>
      <c r="B141" s="2" t="n">
        <v>265</v>
      </c>
      <c r="C141" s="2" t="inlineStr">
        <is>
          <t>[MANDATE] Add owner borrow/repay authorizations (governance)</t>
        </is>
      </c>
      <c r="D141" s="2" t="inlineStr">
        <is>
          <t>mandate</t>
        </is>
      </c>
      <c r="E141" s="2" t="inlineStr">
        <is>
          <t>[EPIC] M03 · Mandate, Payees, Exceptions &amp; Pause</t>
        </is>
      </c>
      <c r="F141" s="2" t="inlineStr">
        <is>
          <t>P2</t>
        </is>
      </c>
      <c r="G141" s="2" t="inlineStr">
        <is>
          <t>M1</t>
        </is>
      </c>
      <c r="H141" s="2" t="inlineStr">
        <is>
          <t>S</t>
        </is>
      </c>
      <c r="I141" s="2">
        <f>IF(H141="S",0.5,IF(H141="M",1,IF(H141="L",2,0)))</f>
        <v/>
      </c>
      <c r="J141" s="2" t="inlineStr">
        <is>
          <t>After submission</t>
        </is>
      </c>
      <c r="K141" s="2" t="inlineStr">
        <is>
          <t>backend</t>
        </is>
      </c>
      <c r="L141" s="2" t="inlineStr">
        <is>
          <t>Assigned</t>
        </is>
      </c>
      <c r="M141" s="2" t="inlineStr">
        <is>
          <t>Nostidus4</t>
        </is>
      </c>
      <c r="N141" s="2" t="inlineStr">
        <is>
          <t>OPEN</t>
        </is>
      </c>
      <c r="O141" s="2" t="inlineStr">
        <is>
          <t>MDT-009, SC-026</t>
        </is>
      </c>
      <c r="P141" s="2">
        <f>IF(O141="",0,SUMPRODUCT(--ISNUMBER(SEARCH(", "&amp;$A$2:$A$245&amp;",",", "&amp;O141&amp;",")),--($L$2:$L$245&lt;&gt;"Done")))</f>
        <v/>
      </c>
      <c r="Q141" s="3" t="inlineStr">
        <is>
          <t>open</t>
        </is>
      </c>
    </row>
    <row r="142">
      <c r="A142" s="2" t="inlineStr">
        <is>
          <t>MDT-L01</t>
        </is>
      </c>
      <c r="B142" s="2" t="n">
        <v>127</v>
      </c>
      <c r="C142" s="2" t="inlineStr">
        <is>
          <t>[MANDATE] Configure threshold-based approval policies</t>
        </is>
      </c>
      <c r="D142" s="2" t="inlineStr">
        <is>
          <t>mandate</t>
        </is>
      </c>
      <c r="E142" s="2" t="inlineStr">
        <is>
          <t>[EPIC] M03 · Mandate, Payees, Exceptions &amp; Pause</t>
        </is>
      </c>
      <c r="F142" s="2" t="inlineStr">
        <is>
          <t>—</t>
        </is>
      </c>
      <c r="G142" s="2" t="inlineStr">
        <is>
          <t>Later</t>
        </is>
      </c>
      <c r="H142" s="2" t="inlineStr">
        <is>
          <t>M</t>
        </is>
      </c>
      <c r="I142" s="2">
        <f>IF(H142="S",0.5,IF(H142="M",1,IF(H142="L",2,0)))</f>
        <v/>
      </c>
      <c r="J142" s="2" t="inlineStr">
        <is>
          <t>Later</t>
        </is>
      </c>
      <c r="K142" s="2" t="inlineStr">
        <is>
          <t>backend</t>
        </is>
      </c>
      <c r="L142" s="2" t="inlineStr">
        <is>
          <t>Accepted</t>
        </is>
      </c>
      <c r="M142" s="2" t="inlineStr"/>
      <c r="N142" s="2" t="inlineStr">
        <is>
          <t>OPEN</t>
        </is>
      </c>
      <c r="O142" s="2" t="inlineStr">
        <is>
          <t>MDT-002, SC-L02</t>
        </is>
      </c>
      <c r="P142" s="2">
        <f>IF(O142="",0,SUMPRODUCT(--ISNUMBER(SEARCH(", "&amp;$A$2:$A$245&amp;",",", "&amp;O142&amp;",")),--($L$2:$L$245&lt;&gt;"Done")))</f>
        <v/>
      </c>
      <c r="Q142" s="3" t="inlineStr">
        <is>
          <t>open</t>
        </is>
      </c>
    </row>
    <row r="143">
      <c r="A143" s="2" t="inlineStr">
        <is>
          <t>NTF-001</t>
        </is>
      </c>
      <c r="B143" s="2" t="n">
        <v>184</v>
      </c>
      <c r="C143" s="2" t="inlineStr">
        <is>
          <t>[NOTIFY] Create the domain event bus and notification routing</t>
        </is>
      </c>
      <c r="D143" s="2" t="inlineStr">
        <is>
          <t>notifications</t>
        </is>
      </c>
      <c r="E143" s="2" t="inlineStr">
        <is>
          <t>[EPIC] M13 · Notifications</t>
        </is>
      </c>
      <c r="F143" s="2" t="inlineStr">
        <is>
          <t>P1</t>
        </is>
      </c>
      <c r="G143" s="2" t="inlineStr">
        <is>
          <t>M1</t>
        </is>
      </c>
      <c r="H143" s="2" t="inlineStr">
        <is>
          <t>M</t>
        </is>
      </c>
      <c r="I143" s="2">
        <f>IF(H143="S",0.5,IF(H143="M",1,IF(H143="L",2,0)))</f>
        <v/>
      </c>
      <c r="J143" s="2" t="inlineStr">
        <is>
          <t>A</t>
        </is>
      </c>
      <c r="K143" s="2" t="inlineStr">
        <is>
          <t>backend</t>
        </is>
      </c>
      <c r="L143" s="2" t="inlineStr">
        <is>
          <t>Assigned</t>
        </is>
      </c>
      <c r="M143" s="2" t="inlineStr">
        <is>
          <t>Nostidus4</t>
        </is>
      </c>
      <c r="N143" s="2" t="inlineStr">
        <is>
          <t>OPEN</t>
        </is>
      </c>
      <c r="O143" s="2" t="inlineStr">
        <is>
          <t>INV-002</t>
        </is>
      </c>
      <c r="P143" s="2">
        <f>IF(O143="",0,SUMPRODUCT(--ISNUMBER(SEARCH(", "&amp;$A$2:$A$245&amp;",",", "&amp;O143&amp;",")),--($L$2:$L$245&lt;&gt;"Done")))</f>
        <v/>
      </c>
      <c r="Q143" s="3" t="inlineStr">
        <is>
          <t>open</t>
        </is>
      </c>
    </row>
    <row r="144">
      <c r="A144" s="2" t="inlineStr">
        <is>
          <t>NTF-002</t>
        </is>
      </c>
      <c r="B144" s="2" t="n">
        <v>185</v>
      </c>
      <c r="C144" s="2" t="inlineStr">
        <is>
          <t>[NOTIFY] Expose in-app notifications and the SSE stream</t>
        </is>
      </c>
      <c r="D144" s="2" t="inlineStr">
        <is>
          <t>notifications</t>
        </is>
      </c>
      <c r="E144" s="2" t="inlineStr">
        <is>
          <t>[EPIC] M13 · Notifications</t>
        </is>
      </c>
      <c r="F144" s="2" t="inlineStr">
        <is>
          <t>P1</t>
        </is>
      </c>
      <c r="G144" s="2" t="inlineStr">
        <is>
          <t>M1</t>
        </is>
      </c>
      <c r="H144" s="2" t="inlineStr">
        <is>
          <t>M</t>
        </is>
      </c>
      <c r="I144" s="2">
        <f>IF(H144="S",0.5,IF(H144="M",1,IF(H144="L",2,0)))</f>
        <v/>
      </c>
      <c r="J144" s="2" t="inlineStr">
        <is>
          <t>A</t>
        </is>
      </c>
      <c r="K144" s="2" t="inlineStr">
        <is>
          <t>backend</t>
        </is>
      </c>
      <c r="L144" s="2" t="inlineStr">
        <is>
          <t>Assigned</t>
        </is>
      </c>
      <c r="M144" s="2" t="inlineStr">
        <is>
          <t>Nostidus4</t>
        </is>
      </c>
      <c r="N144" s="2" t="inlineStr">
        <is>
          <t>OPEN</t>
        </is>
      </c>
      <c r="O144" s="2" t="inlineStr">
        <is>
          <t>NTF-001</t>
        </is>
      </c>
      <c r="P144" s="2">
        <f>IF(O144="",0,SUMPRODUCT(--ISNUMBER(SEARCH(", "&amp;$A$2:$A$245&amp;",",", "&amp;O144&amp;",")),--($L$2:$L$245&lt;&gt;"Done")))</f>
        <v/>
      </c>
      <c r="Q144" s="3" t="inlineStr">
        <is>
          <t>open</t>
        </is>
      </c>
    </row>
    <row r="145">
      <c r="A145" s="2" t="inlineStr">
        <is>
          <t>NTF-003</t>
        </is>
      </c>
      <c r="B145" s="2" t="n">
        <v>186</v>
      </c>
      <c r="C145" s="2" t="inlineStr">
        <is>
          <t>[NOTIFY] Add Telegram linking and delivery</t>
        </is>
      </c>
      <c r="D145" s="2" t="inlineStr">
        <is>
          <t>notifications</t>
        </is>
      </c>
      <c r="E145" s="2" t="inlineStr">
        <is>
          <t>[EPIC] M13 · Notifications</t>
        </is>
      </c>
      <c r="F145" s="2" t="inlineStr">
        <is>
          <t>P2</t>
        </is>
      </c>
      <c r="G145" s="2" t="inlineStr">
        <is>
          <t>M1</t>
        </is>
      </c>
      <c r="H145" s="2" t="inlineStr">
        <is>
          <t>M</t>
        </is>
      </c>
      <c r="I145" s="2">
        <f>IF(H145="S",0.5,IF(H145="M",1,IF(H145="L",2,0)))</f>
        <v/>
      </c>
      <c r="J145" s="2" t="inlineStr">
        <is>
          <t>After submission</t>
        </is>
      </c>
      <c r="K145" s="2" t="inlineStr">
        <is>
          <t>backend</t>
        </is>
      </c>
      <c r="L145" s="2" t="inlineStr">
        <is>
          <t>Assigned</t>
        </is>
      </c>
      <c r="M145" s="2" t="inlineStr">
        <is>
          <t>Nostidus4</t>
        </is>
      </c>
      <c r="N145" s="2" t="inlineStr">
        <is>
          <t>OPEN</t>
        </is>
      </c>
      <c r="O145" s="2" t="inlineStr">
        <is>
          <t>NTF-001</t>
        </is>
      </c>
      <c r="P145" s="2">
        <f>IF(O145="",0,SUMPRODUCT(--ISNUMBER(SEARCH(", "&amp;$A$2:$A$245&amp;",",", "&amp;O145&amp;",")),--($L$2:$L$245&lt;&gt;"Done")))</f>
        <v/>
      </c>
      <c r="Q145" s="3" t="inlineStr">
        <is>
          <t>open</t>
        </is>
      </c>
    </row>
    <row r="146">
      <c r="A146" s="2" t="inlineStr">
        <is>
          <t>NTF-L01</t>
        </is>
      </c>
      <c r="B146" s="2" t="n">
        <v>187</v>
      </c>
      <c r="C146" s="2" t="inlineStr">
        <is>
          <t>[NOTIFY] Add email notifications and digests</t>
        </is>
      </c>
      <c r="D146" s="2" t="inlineStr">
        <is>
          <t>notifications</t>
        </is>
      </c>
      <c r="E146" s="2" t="inlineStr">
        <is>
          <t>[EPIC] M13 · Notifications</t>
        </is>
      </c>
      <c r="F146" s="2" t="inlineStr">
        <is>
          <t>—</t>
        </is>
      </c>
      <c r="G146" s="2" t="inlineStr">
        <is>
          <t>Later</t>
        </is>
      </c>
      <c r="H146" s="2" t="inlineStr">
        <is>
          <t>M</t>
        </is>
      </c>
      <c r="I146" s="2">
        <f>IF(H146="S",0.5,IF(H146="M",1,IF(H146="L",2,0)))</f>
        <v/>
      </c>
      <c r="J146" s="2" t="inlineStr">
        <is>
          <t>Later</t>
        </is>
      </c>
      <c r="K146" s="2" t="inlineStr">
        <is>
          <t>backend</t>
        </is>
      </c>
      <c r="L146" s="2" t="inlineStr">
        <is>
          <t>Accepted</t>
        </is>
      </c>
      <c r="M146" s="2" t="inlineStr"/>
      <c r="N146" s="2" t="inlineStr">
        <is>
          <t>OPEN</t>
        </is>
      </c>
      <c r="O146" s="2" t="inlineStr">
        <is>
          <t>NTF-001</t>
        </is>
      </c>
      <c r="P146" s="2">
        <f>IF(O146="",0,SUMPRODUCT(--ISNUMBER(SEARCH(", "&amp;$A$2:$A$245&amp;",",", "&amp;O146&amp;",")),--($L$2:$L$245&lt;&gt;"Done")))</f>
        <v/>
      </c>
      <c r="Q146" s="3" t="inlineStr">
        <is>
          <t>open</t>
        </is>
      </c>
    </row>
    <row r="147">
      <c r="A147" s="2" t="inlineStr">
        <is>
          <t>NTF-L02</t>
        </is>
      </c>
      <c r="B147" s="2" t="n">
        <v>188</v>
      </c>
      <c r="C147" s="2" t="inlineStr">
        <is>
          <t>[NOTIFY] Add outbound webhooks</t>
        </is>
      </c>
      <c r="D147" s="2" t="inlineStr">
        <is>
          <t>notifications</t>
        </is>
      </c>
      <c r="E147" s="2" t="inlineStr">
        <is>
          <t>[EPIC] M13 · Notifications</t>
        </is>
      </c>
      <c r="F147" s="2" t="inlineStr">
        <is>
          <t>—</t>
        </is>
      </c>
      <c r="G147" s="2" t="inlineStr">
        <is>
          <t>Later</t>
        </is>
      </c>
      <c r="H147" s="2" t="inlineStr">
        <is>
          <t>M</t>
        </is>
      </c>
      <c r="I147" s="2">
        <f>IF(H147="S",0.5,IF(H147="M",1,IF(H147="L",2,0)))</f>
        <v/>
      </c>
      <c r="J147" s="2" t="inlineStr">
        <is>
          <t>Later</t>
        </is>
      </c>
      <c r="K147" s="2" t="inlineStr">
        <is>
          <t>backend</t>
        </is>
      </c>
      <c r="L147" s="2" t="inlineStr">
        <is>
          <t>Accepted</t>
        </is>
      </c>
      <c r="M147" s="2" t="inlineStr"/>
      <c r="N147" s="2" t="inlineStr">
        <is>
          <t>OPEN</t>
        </is>
      </c>
      <c r="O147" s="2" t="inlineStr">
        <is>
          <t>NTF-001</t>
        </is>
      </c>
      <c r="P147" s="2">
        <f>IF(O147="",0,SUMPRODUCT(--ISNUMBER(SEARCH(", "&amp;$A$2:$A$245&amp;",",", "&amp;O147&amp;",")),--($L$2:$L$245&lt;&gt;"Done")))</f>
        <v/>
      </c>
      <c r="Q147" s="3" t="inlineStr">
        <is>
          <t>open</t>
        </is>
      </c>
    </row>
    <row r="148">
      <c r="A148" s="2" t="inlineStr">
        <is>
          <t>NTF-L03</t>
        </is>
      </c>
      <c r="B148" s="2" t="n">
        <v>189</v>
      </c>
      <c r="C148" s="2" t="inlineStr">
        <is>
          <t>[NOTIFY] Add Slack, Lark and WeCom channels</t>
        </is>
      </c>
      <c r="D148" s="2" t="inlineStr">
        <is>
          <t>notifications</t>
        </is>
      </c>
      <c r="E148" s="2" t="inlineStr">
        <is>
          <t>[EPIC] M13 · Notifications</t>
        </is>
      </c>
      <c r="F148" s="2" t="inlineStr">
        <is>
          <t>—</t>
        </is>
      </c>
      <c r="G148" s="2" t="inlineStr">
        <is>
          <t>Later</t>
        </is>
      </c>
      <c r="H148" s="2" t="inlineStr">
        <is>
          <t>L</t>
        </is>
      </c>
      <c r="I148" s="2">
        <f>IF(H148="S",0.5,IF(H148="M",1,IF(H148="L",2,0)))</f>
        <v/>
      </c>
      <c r="J148" s="2" t="inlineStr">
        <is>
          <t>Later</t>
        </is>
      </c>
      <c r="K148" s="2" t="inlineStr">
        <is>
          <t>backend</t>
        </is>
      </c>
      <c r="L148" s="2" t="inlineStr">
        <is>
          <t>Accepted</t>
        </is>
      </c>
      <c r="M148" s="2" t="inlineStr"/>
      <c r="N148" s="2" t="inlineStr">
        <is>
          <t>OPEN</t>
        </is>
      </c>
      <c r="O148" s="2" t="inlineStr">
        <is>
          <t>NTF-001</t>
        </is>
      </c>
      <c r="P148" s="2">
        <f>IF(O148="",0,SUMPRODUCT(--ISNUMBER(SEARCH(", "&amp;$A$2:$A$245&amp;",",", "&amp;O148&amp;",")),--($L$2:$L$245&lt;&gt;"Done")))</f>
        <v/>
      </c>
      <c r="Q148" s="3" t="inlineStr">
        <is>
          <t>open</t>
        </is>
      </c>
    </row>
    <row r="149">
      <c r="A149" s="2" t="inlineStr">
        <is>
          <t>NTF-L04</t>
        </is>
      </c>
      <c r="B149" s="2" t="n">
        <v>190</v>
      </c>
      <c r="C149" s="2" t="inlineStr">
        <is>
          <t>[NOTIFY] Add notification preferences</t>
        </is>
      </c>
      <c r="D149" s="2" t="inlineStr">
        <is>
          <t>notifications</t>
        </is>
      </c>
      <c r="E149" s="2" t="inlineStr">
        <is>
          <t>[EPIC] M13 · Notifications</t>
        </is>
      </c>
      <c r="F149" s="2" t="inlineStr">
        <is>
          <t>—</t>
        </is>
      </c>
      <c r="G149" s="2" t="inlineStr">
        <is>
          <t>Later</t>
        </is>
      </c>
      <c r="H149" s="2" t="inlineStr">
        <is>
          <t>S</t>
        </is>
      </c>
      <c r="I149" s="2">
        <f>IF(H149="S",0.5,IF(H149="M",1,IF(H149="L",2,0)))</f>
        <v/>
      </c>
      <c r="J149" s="2" t="inlineStr">
        <is>
          <t>Later</t>
        </is>
      </c>
      <c r="K149" s="2" t="inlineStr">
        <is>
          <t>backend</t>
        </is>
      </c>
      <c r="L149" s="2" t="inlineStr">
        <is>
          <t>Accepted</t>
        </is>
      </c>
      <c r="M149" s="2" t="inlineStr"/>
      <c r="N149" s="2" t="inlineStr">
        <is>
          <t>OPEN</t>
        </is>
      </c>
      <c r="O149" s="2" t="inlineStr">
        <is>
          <t>NTF-002</t>
        </is>
      </c>
      <c r="P149" s="2">
        <f>IF(O149="",0,SUMPRODUCT(--ISNUMBER(SEARCH(", "&amp;$A$2:$A$245&amp;",",", "&amp;O149&amp;",")),--($L$2:$L$245&lt;&gt;"Done")))</f>
        <v/>
      </c>
      <c r="Q149" s="3" t="inlineStr">
        <is>
          <t>open</t>
        </is>
      </c>
    </row>
    <row r="150">
      <c r="A150" s="2" t="inlineStr">
        <is>
          <t>OBS-001</t>
        </is>
      </c>
      <c r="B150" s="2" t="n">
        <v>200</v>
      </c>
      <c r="C150" s="2" t="inlineStr">
        <is>
          <t>[OBSERVABILITY] Configure structured logging with correlation ids</t>
        </is>
      </c>
      <c r="D150" s="2" t="inlineStr">
        <is>
          <t>observability</t>
        </is>
      </c>
      <c r="E150" s="2" t="inlineStr">
        <is>
          <t>[EPIC] M17 · Observability &amp; Analytics</t>
        </is>
      </c>
      <c r="F150" s="2" t="inlineStr">
        <is>
          <t>P1</t>
        </is>
      </c>
      <c r="G150" s="2" t="inlineStr">
        <is>
          <t>M1</t>
        </is>
      </c>
      <c r="H150" s="2" t="inlineStr">
        <is>
          <t>S</t>
        </is>
      </c>
      <c r="I150" s="2">
        <f>IF(H150="S",0.5,IF(H150="M",1,IF(H150="L",2,0)))</f>
        <v/>
      </c>
      <c r="J150" s="2" t="inlineStr">
        <is>
          <t>After submission</t>
        </is>
      </c>
      <c r="K150" s="2" t="inlineStr">
        <is>
          <t>infrastructure</t>
        </is>
      </c>
      <c r="L150" s="2" t="inlineStr">
        <is>
          <t>Assigned</t>
        </is>
      </c>
      <c r="M150" s="2" t="inlineStr">
        <is>
          <t>therealtunguyen</t>
        </is>
      </c>
      <c r="N150" s="2" t="inlineStr">
        <is>
          <t>OPEN</t>
        </is>
      </c>
      <c r="O150" s="2" t="inlineStr">
        <is>
          <t>CMP-003</t>
        </is>
      </c>
      <c r="P150" s="2">
        <f>IF(O150="",0,SUMPRODUCT(--ISNUMBER(SEARCH(", "&amp;$A$2:$A$245&amp;",",", "&amp;O150&amp;",")),--($L$2:$L$245&lt;&gt;"Done")))</f>
        <v/>
      </c>
      <c r="Q150" s="3" t="inlineStr">
        <is>
          <t>open</t>
        </is>
      </c>
    </row>
    <row r="151">
      <c r="A151" s="2" t="inlineStr">
        <is>
          <t>OBS-002</t>
        </is>
      </c>
      <c r="B151" s="2" t="n">
        <v>201</v>
      </c>
      <c r="C151" s="2" t="inlineStr">
        <is>
          <t>[OBSERVABILITY] Add OpenTelemetry tracing</t>
        </is>
      </c>
      <c r="D151" s="2" t="inlineStr">
        <is>
          <t>observability</t>
        </is>
      </c>
      <c r="E151" s="2" t="inlineStr">
        <is>
          <t>[EPIC] M17 · Observability &amp; Analytics</t>
        </is>
      </c>
      <c r="F151" s="2" t="inlineStr">
        <is>
          <t>P1</t>
        </is>
      </c>
      <c r="G151" s="2" t="inlineStr">
        <is>
          <t>M1</t>
        </is>
      </c>
      <c r="H151" s="2" t="inlineStr">
        <is>
          <t>M</t>
        </is>
      </c>
      <c r="I151" s="2">
        <f>IF(H151="S",0.5,IF(H151="M",1,IF(H151="L",2,0)))</f>
        <v/>
      </c>
      <c r="J151" s="2" t="inlineStr">
        <is>
          <t>After submission</t>
        </is>
      </c>
      <c r="K151" s="2" t="inlineStr">
        <is>
          <t>infrastructure</t>
        </is>
      </c>
      <c r="L151" s="2" t="inlineStr">
        <is>
          <t>Assigned</t>
        </is>
      </c>
      <c r="M151" s="2" t="inlineStr">
        <is>
          <t>therealtunguyen</t>
        </is>
      </c>
      <c r="N151" s="2" t="inlineStr">
        <is>
          <t>OPEN</t>
        </is>
      </c>
      <c r="O151" s="2" t="inlineStr">
        <is>
          <t>OBS-001</t>
        </is>
      </c>
      <c r="P151" s="2">
        <f>IF(O151="",0,SUMPRODUCT(--ISNUMBER(SEARCH(", "&amp;$A$2:$A$245&amp;",",", "&amp;O151&amp;",")),--($L$2:$L$245&lt;&gt;"Done")))</f>
        <v/>
      </c>
      <c r="Q151" s="3" t="inlineStr">
        <is>
          <t>open</t>
        </is>
      </c>
    </row>
    <row r="152">
      <c r="A152" s="2" t="inlineStr">
        <is>
          <t>OBS-003</t>
        </is>
      </c>
      <c r="B152" s="2" t="n">
        <v>202</v>
      </c>
      <c r="C152" s="2" t="inlineStr">
        <is>
          <t>[OBSERVABILITY] Add Sentry and Prometheus metrics</t>
        </is>
      </c>
      <c r="D152" s="2" t="inlineStr">
        <is>
          <t>observability</t>
        </is>
      </c>
      <c r="E152" s="2" t="inlineStr">
        <is>
          <t>[EPIC] M17 · Observability &amp; Analytics</t>
        </is>
      </c>
      <c r="F152" s="2" t="inlineStr">
        <is>
          <t>P1</t>
        </is>
      </c>
      <c r="G152" s="2" t="inlineStr">
        <is>
          <t>M1</t>
        </is>
      </c>
      <c r="H152" s="2" t="inlineStr">
        <is>
          <t>S</t>
        </is>
      </c>
      <c r="I152" s="2">
        <f>IF(H152="S",0.5,IF(H152="M",1,IF(H152="L",2,0)))</f>
        <v/>
      </c>
      <c r="J152" s="2" t="inlineStr">
        <is>
          <t>After submission</t>
        </is>
      </c>
      <c r="K152" s="2" t="inlineStr">
        <is>
          <t>infrastructure</t>
        </is>
      </c>
      <c r="L152" s="2" t="inlineStr">
        <is>
          <t>Assigned</t>
        </is>
      </c>
      <c r="M152" s="2" t="inlineStr">
        <is>
          <t>therealtunguyen</t>
        </is>
      </c>
      <c r="N152" s="2" t="inlineStr">
        <is>
          <t>OPEN</t>
        </is>
      </c>
      <c r="O152" s="2" t="inlineStr">
        <is>
          <t>OBS-001</t>
        </is>
      </c>
      <c r="P152" s="2">
        <f>IF(O152="",0,SUMPRODUCT(--ISNUMBER(SEARCH(", "&amp;$A$2:$A$245&amp;",",", "&amp;O152&amp;",")),--($L$2:$L$245&lt;&gt;"Done")))</f>
        <v/>
      </c>
      <c r="Q152" s="3" t="inlineStr">
        <is>
          <t>open</t>
        </is>
      </c>
    </row>
    <row r="153">
      <c r="A153" s="2" t="inlineStr">
        <is>
          <t>OBS-004</t>
        </is>
      </c>
      <c r="B153" s="2" t="n">
        <v>203</v>
      </c>
      <c r="C153" s="2" t="inlineStr">
        <is>
          <t>[OBSERVABILITY] Compute operational metrics</t>
        </is>
      </c>
      <c r="D153" s="2" t="inlineStr">
        <is>
          <t>observability</t>
        </is>
      </c>
      <c r="E153" s="2" t="inlineStr">
        <is>
          <t>[EPIC] M17 · Observability &amp; Analytics</t>
        </is>
      </c>
      <c r="F153" s="2" t="inlineStr">
        <is>
          <t>P1</t>
        </is>
      </c>
      <c r="G153" s="2" t="inlineStr">
        <is>
          <t>M1</t>
        </is>
      </c>
      <c r="H153" s="2" t="inlineStr">
        <is>
          <t>M</t>
        </is>
      </c>
      <c r="I153" s="2">
        <f>IF(H153="S",0.5,IF(H153="M",1,IF(H153="L",2,0)))</f>
        <v/>
      </c>
      <c r="J153" s="2" t="inlineStr">
        <is>
          <t>After submission</t>
        </is>
      </c>
      <c r="K153" s="2" t="inlineStr">
        <is>
          <t>infrastructure</t>
        </is>
      </c>
      <c r="L153" s="2" t="inlineStr">
        <is>
          <t>Assigned</t>
        </is>
      </c>
      <c r="M153" s="2" t="inlineStr">
        <is>
          <t>therealtunguyen</t>
        </is>
      </c>
      <c r="N153" s="2" t="inlineStr">
        <is>
          <t>OPEN</t>
        </is>
      </c>
      <c r="O153" s="2" t="inlineStr">
        <is>
          <t>AUD-001, EXE-008</t>
        </is>
      </c>
      <c r="P153" s="2">
        <f>IF(O153="",0,SUMPRODUCT(--ISNUMBER(SEARCH(", "&amp;$A$2:$A$245&amp;",",", "&amp;O153&amp;",")),--($L$2:$L$245&lt;&gt;"Done")))</f>
        <v/>
      </c>
      <c r="Q153" s="3" t="inlineStr">
        <is>
          <t>open</t>
        </is>
      </c>
    </row>
    <row r="154">
      <c r="A154" s="2" t="inlineStr">
        <is>
          <t>OBS-005</t>
        </is>
      </c>
      <c r="B154" s="2" t="n">
        <v>204</v>
      </c>
      <c r="C154" s="2" t="inlineStr">
        <is>
          <t>[OBSERVABILITY] Compute the savings report</t>
        </is>
      </c>
      <c r="D154" s="2" t="inlineStr">
        <is>
          <t>observability</t>
        </is>
      </c>
      <c r="E154" s="2" t="inlineStr">
        <is>
          <t>[EPIC] M17 · Observability &amp; Analytics</t>
        </is>
      </c>
      <c r="F154" s="2" t="inlineStr">
        <is>
          <t>P1</t>
        </is>
      </c>
      <c r="G154" s="2" t="inlineStr">
        <is>
          <t>M1</t>
        </is>
      </c>
      <c r="H154" s="2" t="inlineStr">
        <is>
          <t>M</t>
        </is>
      </c>
      <c r="I154" s="2">
        <f>IF(H154="S",0.5,IF(H154="M",1,IF(H154="L",2,0)))</f>
        <v/>
      </c>
      <c r="J154" s="2" t="inlineStr">
        <is>
          <t>After submission</t>
        </is>
      </c>
      <c r="K154" s="2" t="inlineStr">
        <is>
          <t>infrastructure</t>
        </is>
      </c>
      <c r="L154" s="2" t="inlineStr">
        <is>
          <t>Assigned</t>
        </is>
      </c>
      <c r="M154" s="2" t="inlineStr">
        <is>
          <t>therealtunguyen</t>
        </is>
      </c>
      <c r="N154" s="2" t="inlineStr">
        <is>
          <t>OPEN</t>
        </is>
      </c>
      <c r="O154" s="2" t="inlineStr">
        <is>
          <t>OBS-004, ENG-006</t>
        </is>
      </c>
      <c r="P154" s="2">
        <f>IF(O154="",0,SUMPRODUCT(--ISNUMBER(SEARCH(", "&amp;$A$2:$A$245&amp;",",", "&amp;O154&amp;",")),--($L$2:$L$245&lt;&gt;"Done")))</f>
        <v/>
      </c>
      <c r="Q154" s="3" t="inlineStr">
        <is>
          <t>open</t>
        </is>
      </c>
    </row>
    <row r="155">
      <c r="A155" s="2" t="inlineStr">
        <is>
          <t>POL-001</t>
        </is>
      </c>
      <c r="B155" s="2" t="n">
        <v>62</v>
      </c>
      <c r="C155" s="2" t="inlineStr">
        <is>
          <t>[POLICY] Define the reason-code catalogue and decision model</t>
        </is>
      </c>
      <c r="D155" s="2" t="inlineStr">
        <is>
          <t>policy-engine</t>
        </is>
      </c>
      <c r="E155" s="2" t="inlineStr">
        <is>
          <t>[EPIC] M08 · Policy Engine &amp; Attestation</t>
        </is>
      </c>
      <c r="F155" s="2" t="inlineStr">
        <is>
          <t>P0</t>
        </is>
      </c>
      <c r="G155" s="2" t="inlineStr">
        <is>
          <t>M1</t>
        </is>
      </c>
      <c r="H155" s="2" t="inlineStr">
        <is>
          <t>S</t>
        </is>
      </c>
      <c r="I155" s="2">
        <f>IF(H155="S",0.5,IF(H155="M",1,IF(H155="L",2,0)))</f>
        <v/>
      </c>
      <c r="J155" s="2" t="inlineStr">
        <is>
          <t>A</t>
        </is>
      </c>
      <c r="K155" s="2" t="inlineStr">
        <is>
          <t>backend</t>
        </is>
      </c>
      <c r="L155" s="2" t="inlineStr">
        <is>
          <t>Assigned</t>
        </is>
      </c>
      <c r="M155" s="2" t="inlineStr">
        <is>
          <t>Nostidus4</t>
        </is>
      </c>
      <c r="N155" s="2" t="inlineStr">
        <is>
          <t>OPEN</t>
        </is>
      </c>
      <c r="O155" s="2" t="inlineStr">
        <is>
          <t>ENG-001</t>
        </is>
      </c>
      <c r="P155" s="2">
        <f>IF(O155="",0,SUMPRODUCT(--ISNUMBER(SEARCH(", "&amp;$A$2:$A$245&amp;",",", "&amp;O155&amp;",")),--($L$2:$L$245&lt;&gt;"Done")))</f>
        <v/>
      </c>
      <c r="Q155" s="3" t="inlineStr">
        <is>
          <t>open</t>
        </is>
      </c>
    </row>
    <row r="156">
      <c r="A156" s="2" t="inlineStr">
        <is>
          <t>POL-002</t>
        </is>
      </c>
      <c r="B156" s="2" t="n">
        <v>63</v>
      </c>
      <c r="C156" s="2" t="inlineStr">
        <is>
          <t>[POLICY] Validate approval, mandate and payee conditions</t>
        </is>
      </c>
      <c r="D156" s="2" t="inlineStr">
        <is>
          <t>policy-engine</t>
        </is>
      </c>
      <c r="E156" s="2" t="inlineStr">
        <is>
          <t>[EPIC] M08 · Policy Engine &amp; Attestation</t>
        </is>
      </c>
      <c r="F156" s="2" t="inlineStr">
        <is>
          <t>P0</t>
        </is>
      </c>
      <c r="G156" s="2" t="inlineStr">
        <is>
          <t>M1</t>
        </is>
      </c>
      <c r="H156" s="2" t="inlineStr">
        <is>
          <t>M</t>
        </is>
      </c>
      <c r="I156" s="2">
        <f>IF(H156="S",0.5,IF(H156="M",1,IF(H156="L",2,0)))</f>
        <v/>
      </c>
      <c r="J156" s="2" t="inlineStr">
        <is>
          <t>A</t>
        </is>
      </c>
      <c r="K156" s="2" t="inlineStr">
        <is>
          <t>backend</t>
        </is>
      </c>
      <c r="L156" s="2" t="inlineStr">
        <is>
          <t>Assigned</t>
        </is>
      </c>
      <c r="M156" s="2" t="inlineStr">
        <is>
          <t>Nostidus4</t>
        </is>
      </c>
      <c r="N156" s="2" t="inlineStr">
        <is>
          <t>OPEN</t>
        </is>
      </c>
      <c r="O156" s="2" t="inlineStr">
        <is>
          <t>POL-001, ENG-010</t>
        </is>
      </c>
      <c r="P156" s="2">
        <f>IF(O156="",0,SUMPRODUCT(--ISNUMBER(SEARCH(", "&amp;$A$2:$A$245&amp;",",", "&amp;O156&amp;",")),--($L$2:$L$245&lt;&gt;"Done")))</f>
        <v/>
      </c>
      <c r="Q156" s="3" t="inlineStr">
        <is>
          <t>open</t>
        </is>
      </c>
    </row>
    <row r="157">
      <c r="A157" s="2" t="inlineStr">
        <is>
          <t>POL-003</t>
        </is>
      </c>
      <c r="B157" s="2" t="n">
        <v>64</v>
      </c>
      <c r="C157" s="2" t="inlineStr">
        <is>
          <t>[POLICY] Validate limits, buffers, deadlines, coverage and unknown operations</t>
        </is>
      </c>
      <c r="D157" s="2" t="inlineStr">
        <is>
          <t>policy-engine</t>
        </is>
      </c>
      <c r="E157" s="2" t="inlineStr">
        <is>
          <t>[EPIC] M08 · Policy Engine &amp; Attestation</t>
        </is>
      </c>
      <c r="F157" s="2" t="inlineStr">
        <is>
          <t>P0</t>
        </is>
      </c>
      <c r="G157" s="2" t="inlineStr">
        <is>
          <t>M1</t>
        </is>
      </c>
      <c r="H157" s="2" t="inlineStr">
        <is>
          <t>M</t>
        </is>
      </c>
      <c r="I157" s="2">
        <f>IF(H157="S",0.5,IF(H157="M",1,IF(H157="L",2,0)))</f>
        <v/>
      </c>
      <c r="J157" s="2" t="inlineStr">
        <is>
          <t>A</t>
        </is>
      </c>
      <c r="K157" s="2" t="inlineStr">
        <is>
          <t>backend</t>
        </is>
      </c>
      <c r="L157" s="2" t="inlineStr">
        <is>
          <t>Assigned</t>
        </is>
      </c>
      <c r="M157" s="2" t="inlineStr">
        <is>
          <t>Nostidus4</t>
        </is>
      </c>
      <c r="N157" s="2" t="inlineStr">
        <is>
          <t>OPEN</t>
        </is>
      </c>
      <c r="O157" s="2" t="inlineStr">
        <is>
          <t>POL-002</t>
        </is>
      </c>
      <c r="P157" s="2">
        <f>IF(O157="",0,SUMPRODUCT(--ISNUMBER(SEARCH(", "&amp;$A$2:$A$245&amp;",",", "&amp;O157&amp;",")),--($L$2:$L$245&lt;&gt;"Done")))</f>
        <v/>
      </c>
      <c r="Q157" s="3" t="inlineStr">
        <is>
          <t>open</t>
        </is>
      </c>
    </row>
    <row r="158">
      <c r="A158" s="2" t="inlineStr">
        <is>
          <t>POL-004</t>
        </is>
      </c>
      <c r="B158" s="2" t="n">
        <v>104</v>
      </c>
      <c r="C158" s="2" t="inlineStr">
        <is>
          <t>[POLICY] Add differential tests between validator and contract</t>
        </is>
      </c>
      <c r="D158" s="2" t="inlineStr">
        <is>
          <t>policy-engine</t>
        </is>
      </c>
      <c r="E158" s="2" t="inlineStr">
        <is>
          <t>[EPIC] M08 · Policy Engine &amp; Attestation</t>
        </is>
      </c>
      <c r="F158" s="2" t="inlineStr">
        <is>
          <t>P0</t>
        </is>
      </c>
      <c r="G158" s="2" t="inlineStr">
        <is>
          <t>M1</t>
        </is>
      </c>
      <c r="H158" s="2" t="inlineStr">
        <is>
          <t>M</t>
        </is>
      </c>
      <c r="I158" s="2">
        <f>IF(H158="S",0.5,IF(H158="M",1,IF(H158="L",2,0)))</f>
        <v/>
      </c>
      <c r="J158" s="2" t="inlineStr">
        <is>
          <t>After submission</t>
        </is>
      </c>
      <c r="K158" s="2" t="inlineStr">
        <is>
          <t>backend</t>
        </is>
      </c>
      <c r="L158" s="2" t="inlineStr">
        <is>
          <t>Assigned</t>
        </is>
      </c>
      <c r="M158" s="2" t="inlineStr">
        <is>
          <t>Nostidus4</t>
        </is>
      </c>
      <c r="N158" s="2" t="inlineStr">
        <is>
          <t>OPEN</t>
        </is>
      </c>
      <c r="O158" s="2" t="inlineStr">
        <is>
          <t>POL-003, SC-013</t>
        </is>
      </c>
      <c r="P158" s="2">
        <f>IF(O158="",0,SUMPRODUCT(--ISNUMBER(SEARCH(", "&amp;$A$2:$A$245&amp;",",", "&amp;O158&amp;",")),--($L$2:$L$245&lt;&gt;"Done")))</f>
        <v/>
      </c>
      <c r="Q158" s="3" t="inlineStr">
        <is>
          <t>open</t>
        </is>
      </c>
    </row>
    <row r="159">
      <c r="A159" s="2" t="inlineStr">
        <is>
          <t>POL-005</t>
        </is>
      </c>
      <c r="B159" s="2" t="n">
        <v>58</v>
      </c>
      <c r="C159" s="2" t="inlineStr">
        <is>
          <t>[POLICY] Define canonical plan encoding and planHash</t>
        </is>
      </c>
      <c r="D159" s="2" t="inlineStr">
        <is>
          <t>policy-engine</t>
        </is>
      </c>
      <c r="E159" s="2" t="inlineStr">
        <is>
          <t>[EPIC] M08 · Policy Engine &amp; Attestation</t>
        </is>
      </c>
      <c r="F159" s="2" t="inlineStr">
        <is>
          <t>P1</t>
        </is>
      </c>
      <c r="G159" s="2" t="inlineStr">
        <is>
          <t>M1</t>
        </is>
      </c>
      <c r="H159" s="2" t="inlineStr">
        <is>
          <t>S</t>
        </is>
      </c>
      <c r="I159" s="2">
        <f>IF(H159="S",0.5,IF(H159="M",1,IF(H159="L",2,0)))</f>
        <v/>
      </c>
      <c r="J159" s="2" t="inlineStr">
        <is>
          <t>A</t>
        </is>
      </c>
      <c r="K159" s="2" t="inlineStr">
        <is>
          <t>backend</t>
        </is>
      </c>
      <c r="L159" s="2" t="inlineStr">
        <is>
          <t>Assigned</t>
        </is>
      </c>
      <c r="M159" s="2" t="inlineStr">
        <is>
          <t>Nostidus4</t>
        </is>
      </c>
      <c r="N159" s="2" t="inlineStr">
        <is>
          <t>OPEN</t>
        </is>
      </c>
      <c r="O159" s="2" t="inlineStr">
        <is>
          <t>ENG-010</t>
        </is>
      </c>
      <c r="P159" s="2">
        <f>IF(O159="",0,SUMPRODUCT(--ISNUMBER(SEARCH(", "&amp;$A$2:$A$245&amp;",",", "&amp;O159&amp;",")),--($L$2:$L$245&lt;&gt;"Done")))</f>
        <v/>
      </c>
      <c r="Q159" s="3" t="inlineStr">
        <is>
          <t>open</t>
        </is>
      </c>
    </row>
    <row r="160">
      <c r="A160" s="2" t="inlineStr">
        <is>
          <t>POL-006</t>
        </is>
      </c>
      <c r="B160" s="2" t="n">
        <v>59</v>
      </c>
      <c r="C160" s="2" t="inlineStr">
        <is>
          <t>[POLICY] Sign and verify EIP-712 plan attestations with the policy key</t>
        </is>
      </c>
      <c r="D160" s="2" t="inlineStr">
        <is>
          <t>policy-engine</t>
        </is>
      </c>
      <c r="E160" s="2" t="inlineStr">
        <is>
          <t>[EPIC] M08 · Policy Engine &amp; Attestation</t>
        </is>
      </c>
      <c r="F160" s="2" t="inlineStr">
        <is>
          <t>P1</t>
        </is>
      </c>
      <c r="G160" s="2" t="inlineStr">
        <is>
          <t>M1</t>
        </is>
      </c>
      <c r="H160" s="2" t="inlineStr">
        <is>
          <t>S</t>
        </is>
      </c>
      <c r="I160" s="2">
        <f>IF(H160="S",0.5,IF(H160="M",1,IF(H160="L",2,0)))</f>
        <v/>
      </c>
      <c r="J160" s="2" t="inlineStr">
        <is>
          <t>A</t>
        </is>
      </c>
      <c r="K160" s="2" t="inlineStr">
        <is>
          <t>backend</t>
        </is>
      </c>
      <c r="L160" s="2" t="inlineStr">
        <is>
          <t>Assigned</t>
        </is>
      </c>
      <c r="M160" s="2" t="inlineStr">
        <is>
          <t>Nostidus4</t>
        </is>
      </c>
      <c r="N160" s="2" t="inlineStr">
        <is>
          <t>OPEN</t>
        </is>
      </c>
      <c r="O160" s="2" t="inlineStr">
        <is>
          <t>POL-005</t>
        </is>
      </c>
      <c r="P160" s="2">
        <f>IF(O160="",0,SUMPRODUCT(--ISNUMBER(SEARCH(", "&amp;$A$2:$A$245&amp;",",", "&amp;O160&amp;",")),--($L$2:$L$245&lt;&gt;"Done")))</f>
        <v/>
      </c>
      <c r="Q160" s="3" t="inlineStr">
        <is>
          <t>open</t>
        </is>
      </c>
    </row>
    <row r="161">
      <c r="A161" s="2" t="inlineStr">
        <is>
          <t>POL-007</t>
        </is>
      </c>
      <c r="B161" s="2" t="n">
        <v>244</v>
      </c>
      <c r="C161" s="2" t="inlineStr">
        <is>
          <t>[POLICY] Simulate each step with eth_call before signing</t>
        </is>
      </c>
      <c r="D161" s="2" t="inlineStr">
        <is>
          <t>policy-engine</t>
        </is>
      </c>
      <c r="E161" s="2" t="inlineStr">
        <is>
          <t>[EPIC] M08 · Policy Engine &amp; Attestation</t>
        </is>
      </c>
      <c r="F161" s="2" t="inlineStr">
        <is>
          <t>P0</t>
        </is>
      </c>
      <c r="G161" s="2" t="inlineStr">
        <is>
          <t>M1</t>
        </is>
      </c>
      <c r="H161" s="2" t="inlineStr">
        <is>
          <t>S</t>
        </is>
      </c>
      <c r="I161" s="2">
        <f>IF(H161="S",0.5,IF(H161="M",1,IF(H161="L",2,0)))</f>
        <v/>
      </c>
      <c r="J161" s="2" t="inlineStr">
        <is>
          <t>A</t>
        </is>
      </c>
      <c r="K161" s="2" t="inlineStr">
        <is>
          <t>backend</t>
        </is>
      </c>
      <c r="L161" s="2" t="inlineStr">
        <is>
          <t>Assigned</t>
        </is>
      </c>
      <c r="M161" s="2" t="inlineStr">
        <is>
          <t>Nostidus4</t>
        </is>
      </c>
      <c r="N161" s="2" t="inlineStr">
        <is>
          <t>OPEN</t>
        </is>
      </c>
      <c r="O161" s="2" t="inlineStr">
        <is>
          <t>POL-003, POL-001, CHR-002, SC-016</t>
        </is>
      </c>
      <c r="P161" s="2">
        <f>IF(O161="",0,SUMPRODUCT(--ISNUMBER(SEARCH(", "&amp;$A$2:$A$245&amp;",",", "&amp;O161&amp;",")),--($L$2:$L$245&lt;&gt;"Done")))</f>
        <v/>
      </c>
      <c r="Q161" s="3" t="inlineStr">
        <is>
          <t>open</t>
        </is>
      </c>
    </row>
    <row r="162">
      <c r="A162" s="2" t="inlineStr">
        <is>
          <t>RCV-001</t>
        </is>
      </c>
      <c r="B162" s="2" t="n">
        <v>163</v>
      </c>
      <c r="C162" s="2" t="inlineStr">
        <is>
          <t>[RECOVERY] Scan in-flight operations at startup</t>
        </is>
      </c>
      <c r="D162" s="2" t="inlineStr">
        <is>
          <t>recovery</t>
        </is>
      </c>
      <c r="E162" s="2" t="inlineStr">
        <is>
          <t>[EPIC] M12 · Recovery &amp; Exceptions</t>
        </is>
      </c>
      <c r="F162" s="2" t="inlineStr">
        <is>
          <t>P0</t>
        </is>
      </c>
      <c r="G162" s="2" t="inlineStr">
        <is>
          <t>M1</t>
        </is>
      </c>
      <c r="H162" s="2" t="inlineStr">
        <is>
          <t>S</t>
        </is>
      </c>
      <c r="I162" s="2">
        <f>IF(H162="S",0.5,IF(H162="M",1,IF(H162="L",2,0)))</f>
        <v/>
      </c>
      <c r="J162" s="2" t="inlineStr">
        <is>
          <t>A</t>
        </is>
      </c>
      <c r="K162" s="2" t="inlineStr">
        <is>
          <t>backend</t>
        </is>
      </c>
      <c r="L162" s="2" t="inlineStr">
        <is>
          <t>Assigned</t>
        </is>
      </c>
      <c r="M162" s="2" t="inlineStr">
        <is>
          <t>Nostidus4</t>
        </is>
      </c>
      <c r="N162" s="2" t="inlineStr">
        <is>
          <t>OPEN</t>
        </is>
      </c>
      <c r="O162" s="2" t="inlineStr">
        <is>
          <t>EXE-007</t>
        </is>
      </c>
      <c r="P162" s="2">
        <f>IF(O162="",0,SUMPRODUCT(--ISNUMBER(SEARCH(", "&amp;$A$2:$A$245&amp;",",", "&amp;O162&amp;",")),--($L$2:$L$245&lt;&gt;"Done")))</f>
        <v/>
      </c>
      <c r="Q162" s="3" t="inlineStr">
        <is>
          <t>open</t>
        </is>
      </c>
    </row>
    <row r="163">
      <c r="A163" s="2" t="inlineStr">
        <is>
          <t>RCV-002</t>
        </is>
      </c>
      <c r="B163" s="2" t="n">
        <v>164</v>
      </c>
      <c r="C163" s="2" t="inlineStr">
        <is>
          <t>[RECOVERY] Resolve unknown operations from chain evidence</t>
        </is>
      </c>
      <c r="D163" s="2" t="inlineStr">
        <is>
          <t>recovery</t>
        </is>
      </c>
      <c r="E163" s="2" t="inlineStr">
        <is>
          <t>[EPIC] M12 · Recovery &amp; Exceptions</t>
        </is>
      </c>
      <c r="F163" s="2" t="inlineStr">
        <is>
          <t>P0</t>
        </is>
      </c>
      <c r="G163" s="2" t="inlineStr">
        <is>
          <t>M1</t>
        </is>
      </c>
      <c r="H163" s="2" t="inlineStr">
        <is>
          <t>M</t>
        </is>
      </c>
      <c r="I163" s="2">
        <f>IF(H163="S",0.5,IF(H163="M",1,IF(H163="L",2,0)))</f>
        <v/>
      </c>
      <c r="J163" s="2" t="inlineStr">
        <is>
          <t>A</t>
        </is>
      </c>
      <c r="K163" s="2" t="inlineStr">
        <is>
          <t>backend</t>
        </is>
      </c>
      <c r="L163" s="2" t="inlineStr">
        <is>
          <t>Assigned</t>
        </is>
      </c>
      <c r="M163" s="2" t="inlineStr">
        <is>
          <t>Nostidus4</t>
        </is>
      </c>
      <c r="N163" s="2" t="inlineStr">
        <is>
          <t>OPEN</t>
        </is>
      </c>
      <c r="O163" s="2" t="inlineStr">
        <is>
          <t>RCV-001, CHR-003</t>
        </is>
      </c>
      <c r="P163" s="2">
        <f>IF(O163="",0,SUMPRODUCT(--ISNUMBER(SEARCH(", "&amp;$A$2:$A$245&amp;",",", "&amp;O163&amp;",")),--($L$2:$L$245&lt;&gt;"Done")))</f>
        <v/>
      </c>
      <c r="Q163" s="3" t="inlineStr">
        <is>
          <t>open</t>
        </is>
      </c>
    </row>
    <row r="164">
      <c r="A164" s="2" t="inlineStr">
        <is>
          <t>RCV-003</t>
        </is>
      </c>
      <c r="B164" s="2" t="n">
        <v>165</v>
      </c>
      <c r="C164" s="2" t="inlineStr">
        <is>
          <t>[RECOVERY] Handle partial completion and resume</t>
        </is>
      </c>
      <c r="D164" s="2" t="inlineStr">
        <is>
          <t>recovery</t>
        </is>
      </c>
      <c r="E164" s="2" t="inlineStr">
        <is>
          <t>[EPIC] M12 · Recovery &amp; Exceptions</t>
        </is>
      </c>
      <c r="F164" s="2" t="inlineStr">
        <is>
          <t>P0</t>
        </is>
      </c>
      <c r="G164" s="2" t="inlineStr">
        <is>
          <t>M1</t>
        </is>
      </c>
      <c r="H164" s="2" t="inlineStr">
        <is>
          <t>S</t>
        </is>
      </c>
      <c r="I164" s="2">
        <f>IF(H164="S",0.5,IF(H164="M",1,IF(H164="L",2,0)))</f>
        <v/>
      </c>
      <c r="J164" s="2" t="inlineStr">
        <is>
          <t>After submission</t>
        </is>
      </c>
      <c r="K164" s="2" t="inlineStr">
        <is>
          <t>backend</t>
        </is>
      </c>
      <c r="L164" s="2" t="inlineStr">
        <is>
          <t>Assigned</t>
        </is>
      </c>
      <c r="M164" s="2" t="inlineStr">
        <is>
          <t>Nostidus4</t>
        </is>
      </c>
      <c r="N164" s="2" t="inlineStr">
        <is>
          <t>OPEN</t>
        </is>
      </c>
      <c r="O164" s="2" t="inlineStr">
        <is>
          <t>EXE-008</t>
        </is>
      </c>
      <c r="P164" s="2">
        <f>IF(O164="",0,SUMPRODUCT(--ISNUMBER(SEARCH(", "&amp;$A$2:$A$245&amp;",",", "&amp;O164&amp;",")),--($L$2:$L$245&lt;&gt;"Done")))</f>
        <v/>
      </c>
      <c r="Q164" s="3" t="inlineStr">
        <is>
          <t>open</t>
        </is>
      </c>
    </row>
    <row r="165">
      <c r="A165" s="2" t="inlineStr">
        <is>
          <t>RCV-004</t>
        </is>
      </c>
      <c r="B165" s="2" t="n">
        <v>166</v>
      </c>
      <c r="C165" s="2" t="inlineStr">
        <is>
          <t>[RECOVERY] Implement the review queue and routing</t>
        </is>
      </c>
      <c r="D165" s="2" t="inlineStr">
        <is>
          <t>recovery</t>
        </is>
      </c>
      <c r="E165" s="2" t="inlineStr">
        <is>
          <t>[EPIC] M12 · Recovery &amp; Exceptions</t>
        </is>
      </c>
      <c r="F165" s="2" t="inlineStr">
        <is>
          <t>P0</t>
        </is>
      </c>
      <c r="G165" s="2" t="inlineStr">
        <is>
          <t>M1</t>
        </is>
      </c>
      <c r="H165" s="2" t="inlineStr">
        <is>
          <t>M</t>
        </is>
      </c>
      <c r="I165" s="2">
        <f>IF(H165="S",0.5,IF(H165="M",1,IF(H165="L",2,0)))</f>
        <v/>
      </c>
      <c r="J165" s="2" t="inlineStr">
        <is>
          <t>B</t>
        </is>
      </c>
      <c r="K165" s="2" t="inlineStr">
        <is>
          <t>backend</t>
        </is>
      </c>
      <c r="L165" s="2" t="inlineStr">
        <is>
          <t>Assigned</t>
        </is>
      </c>
      <c r="M165" s="2" t="inlineStr">
        <is>
          <t>Nostidus4</t>
        </is>
      </c>
      <c r="N165" s="2" t="inlineStr">
        <is>
          <t>OPEN</t>
        </is>
      </c>
      <c r="O165" s="2" t="inlineStr">
        <is>
          <t>INV-002</t>
        </is>
      </c>
      <c r="P165" s="2">
        <f>IF(O165="",0,SUMPRODUCT(--ISNUMBER(SEARCH(", "&amp;$A$2:$A$245&amp;",",", "&amp;O165&amp;",")),--($L$2:$L$245&lt;&gt;"Done")))</f>
        <v/>
      </c>
      <c r="Q165" s="3" t="inlineStr">
        <is>
          <t>open</t>
        </is>
      </c>
    </row>
    <row r="166">
      <c r="A166" s="2" t="inlineStr">
        <is>
          <t>RCV-005</t>
        </is>
      </c>
      <c r="B166" s="2" t="n">
        <v>167</v>
      </c>
      <c r="C166" s="2" t="inlineStr">
        <is>
          <t>[RECOVERY] Implement retry policy and error classification</t>
        </is>
      </c>
      <c r="D166" s="2" t="inlineStr">
        <is>
          <t>recovery</t>
        </is>
      </c>
      <c r="E166" s="2" t="inlineStr">
        <is>
          <t>[EPIC] M12 · Recovery &amp; Exceptions</t>
        </is>
      </c>
      <c r="F166" s="2" t="inlineStr">
        <is>
          <t>P0</t>
        </is>
      </c>
      <c r="G166" s="2" t="inlineStr">
        <is>
          <t>M1</t>
        </is>
      </c>
      <c r="H166" s="2" t="inlineStr">
        <is>
          <t>S</t>
        </is>
      </c>
      <c r="I166" s="2">
        <f>IF(H166="S",0.5,IF(H166="M",1,IF(H166="L",2,0)))</f>
        <v/>
      </c>
      <c r="J166" s="2" t="inlineStr">
        <is>
          <t>B</t>
        </is>
      </c>
      <c r="K166" s="2" t="inlineStr">
        <is>
          <t>backend</t>
        </is>
      </c>
      <c r="L166" s="2" t="inlineStr">
        <is>
          <t>Assigned</t>
        </is>
      </c>
      <c r="M166" s="2" t="inlineStr">
        <is>
          <t>Nostidus4</t>
        </is>
      </c>
      <c r="N166" s="2" t="inlineStr">
        <is>
          <t>OPEN</t>
        </is>
      </c>
      <c r="O166" s="2" t="inlineStr">
        <is>
          <t>EXE-007</t>
        </is>
      </c>
      <c r="P166" s="2">
        <f>IF(O166="",0,SUMPRODUCT(--ISNUMBER(SEARCH(", "&amp;$A$2:$A$245&amp;",",", "&amp;O166&amp;",")),--($L$2:$L$245&lt;&gt;"Done")))</f>
        <v/>
      </c>
      <c r="Q166" s="3" t="inlineStr">
        <is>
          <t>open</t>
        </is>
      </c>
    </row>
    <row r="167">
      <c r="A167" s="2" t="inlineStr">
        <is>
          <t>RCV-006</t>
        </is>
      </c>
      <c r="B167" s="2" t="n">
        <v>168</v>
      </c>
      <c r="C167" s="2" t="inlineStr">
        <is>
          <t>[RECOVERY] Implement circuit-breaker rules and auto-pause</t>
        </is>
      </c>
      <c r="D167" s="2" t="inlineStr">
        <is>
          <t>recovery</t>
        </is>
      </c>
      <c r="E167" s="2" t="inlineStr">
        <is>
          <t>[EPIC] M12 · Recovery &amp; Exceptions</t>
        </is>
      </c>
      <c r="F167" s="2" t="inlineStr">
        <is>
          <t>P2</t>
        </is>
      </c>
      <c r="G167" s="2" t="inlineStr">
        <is>
          <t>M1</t>
        </is>
      </c>
      <c r="H167" s="2" t="inlineStr">
        <is>
          <t>M</t>
        </is>
      </c>
      <c r="I167" s="2">
        <f>IF(H167="S",0.5,IF(H167="M",1,IF(H167="L",2,0)))</f>
        <v/>
      </c>
      <c r="J167" s="2" t="inlineStr">
        <is>
          <t>After submission</t>
        </is>
      </c>
      <c r="K167" s="2" t="inlineStr">
        <is>
          <t>backend</t>
        </is>
      </c>
      <c r="L167" s="2" t="inlineStr">
        <is>
          <t>Assigned</t>
        </is>
      </c>
      <c r="M167" s="2" t="inlineStr">
        <is>
          <t>Nostidus4</t>
        </is>
      </c>
      <c r="N167" s="2" t="inlineStr">
        <is>
          <t>OPEN</t>
        </is>
      </c>
      <c r="O167" s="2" t="inlineStr">
        <is>
          <t>REC-001, MDT-007, EXE-013, CHR-006</t>
        </is>
      </c>
      <c r="P167" s="2">
        <f>IF(O167="",0,SUMPRODUCT(--ISNUMBER(SEARCH(", "&amp;$A$2:$A$245&amp;",",", "&amp;O167&amp;",")),--($L$2:$L$245&lt;&gt;"Done")))</f>
        <v/>
      </c>
      <c r="Q167" s="3" t="inlineStr">
        <is>
          <t>open</t>
        </is>
      </c>
    </row>
    <row r="168">
      <c r="A168" s="2" t="inlineStr">
        <is>
          <t>RCV-007</t>
        </is>
      </c>
      <c r="B168" s="2" t="n">
        <v>169</v>
      </c>
      <c r="C168" s="2" t="inlineStr">
        <is>
          <t>[RECOVERY] Automate the crash-recovery test</t>
        </is>
      </c>
      <c r="D168" s="2" t="inlineStr">
        <is>
          <t>recovery</t>
        </is>
      </c>
      <c r="E168" s="2" t="inlineStr">
        <is>
          <t>[EPIC] M12 · Recovery &amp; Exceptions</t>
        </is>
      </c>
      <c r="F168" s="2" t="inlineStr">
        <is>
          <t>P0</t>
        </is>
      </c>
      <c r="G168" s="2" t="inlineStr">
        <is>
          <t>M1</t>
        </is>
      </c>
      <c r="H168" s="2" t="inlineStr">
        <is>
          <t>S</t>
        </is>
      </c>
      <c r="I168" s="2">
        <f>IF(H168="S",0.5,IF(H168="M",1,IF(H168="L",2,0)))</f>
        <v/>
      </c>
      <c r="J168" s="2" t="inlineStr">
        <is>
          <t>A</t>
        </is>
      </c>
      <c r="K168" s="2" t="inlineStr">
        <is>
          <t>backend</t>
        </is>
      </c>
      <c r="L168" s="2" t="inlineStr">
        <is>
          <t>Assigned</t>
        </is>
      </c>
      <c r="M168" s="2" t="inlineStr">
        <is>
          <t>Nostidus4</t>
        </is>
      </c>
      <c r="N168" s="2" t="inlineStr">
        <is>
          <t>OPEN</t>
        </is>
      </c>
      <c r="O168" s="2" t="inlineStr">
        <is>
          <t>RCV-002</t>
        </is>
      </c>
      <c r="P168" s="2">
        <f>IF(O168="",0,SUMPRODUCT(--ISNUMBER(SEARCH(", "&amp;$A$2:$A$245&amp;",",", "&amp;O168&amp;",")),--($L$2:$L$245&lt;&gt;"Done")))</f>
        <v/>
      </c>
      <c r="Q168" s="3" t="inlineStr">
        <is>
          <t>open</t>
        </is>
      </c>
    </row>
    <row r="169">
      <c r="A169" s="2" t="inlineStr">
        <is>
          <t>REC-001</t>
        </is>
      </c>
      <c r="B169" s="2" t="n">
        <v>155</v>
      </c>
      <c r="C169" s="2" t="inlineStr">
        <is>
          <t>[RECON] Verify post-conditions after each confirmed step</t>
        </is>
      </c>
      <c r="D169" s="2" t="inlineStr">
        <is>
          <t>reconciliation</t>
        </is>
      </c>
      <c r="E169" s="2" t="inlineStr">
        <is>
          <t>[EPIC] M11 · Verification &amp; Reconciliation</t>
        </is>
      </c>
      <c r="F169" s="2" t="inlineStr">
        <is>
          <t>P0</t>
        </is>
      </c>
      <c r="G169" s="2" t="inlineStr">
        <is>
          <t>M1</t>
        </is>
      </c>
      <c r="H169" s="2" t="inlineStr">
        <is>
          <t>M</t>
        </is>
      </c>
      <c r="I169" s="2">
        <f>IF(H169="S",0.5,IF(H169="M",1,IF(H169="L",2,0)))</f>
        <v/>
      </c>
      <c r="J169" s="2" t="inlineStr">
        <is>
          <t>A</t>
        </is>
      </c>
      <c r="K169" s="2" t="inlineStr">
        <is>
          <t>backend</t>
        </is>
      </c>
      <c r="L169" s="2" t="inlineStr">
        <is>
          <t>Assigned</t>
        </is>
      </c>
      <c r="M169" s="2" t="inlineStr">
        <is>
          <t>Nostidus4</t>
        </is>
      </c>
      <c r="N169" s="2" t="inlineStr">
        <is>
          <t>OPEN</t>
        </is>
      </c>
      <c r="O169" s="2" t="inlineStr">
        <is>
          <t>EXE-008</t>
        </is>
      </c>
      <c r="P169" s="2">
        <f>IF(O169="",0,SUMPRODUCT(--ISNUMBER(SEARCH(", "&amp;$A$2:$A$245&amp;",",", "&amp;O169&amp;",")),--($L$2:$L$245&lt;&gt;"Done")))</f>
        <v/>
      </c>
      <c r="Q169" s="3" t="inlineStr">
        <is>
          <t>open</t>
        </is>
      </c>
    </row>
    <row r="170">
      <c r="A170" s="2" t="inlineStr">
        <is>
          <t>REC-002</t>
        </is>
      </c>
      <c r="B170" s="2" t="n">
        <v>156</v>
      </c>
      <c r="C170" s="2" t="inlineStr">
        <is>
          <t>[RECON] Build reconciliation records with classification</t>
        </is>
      </c>
      <c r="D170" s="2" t="inlineStr">
        <is>
          <t>reconciliation</t>
        </is>
      </c>
      <c r="E170" s="2" t="inlineStr">
        <is>
          <t>[EPIC] M11 · Verification &amp; Reconciliation</t>
        </is>
      </c>
      <c r="F170" s="2" t="inlineStr">
        <is>
          <t>P0</t>
        </is>
      </c>
      <c r="G170" s="2" t="inlineStr">
        <is>
          <t>M1</t>
        </is>
      </c>
      <c r="H170" s="2" t="inlineStr">
        <is>
          <t>M</t>
        </is>
      </c>
      <c r="I170" s="2">
        <f>IF(H170="S",0.5,IF(H170="M",1,IF(H170="L",2,0)))</f>
        <v/>
      </c>
      <c r="J170" s="2" t="inlineStr">
        <is>
          <t>A</t>
        </is>
      </c>
      <c r="K170" s="2" t="inlineStr">
        <is>
          <t>backend</t>
        </is>
      </c>
      <c r="L170" s="2" t="inlineStr">
        <is>
          <t>Assigned</t>
        </is>
      </c>
      <c r="M170" s="2" t="inlineStr">
        <is>
          <t>Nostidus4</t>
        </is>
      </c>
      <c r="N170" s="2" t="inlineStr">
        <is>
          <t>OPEN</t>
        </is>
      </c>
      <c r="O170" s="2" t="inlineStr">
        <is>
          <t>REC-001</t>
        </is>
      </c>
      <c r="P170" s="2">
        <f>IF(O170="",0,SUMPRODUCT(--ISNUMBER(SEARCH(", "&amp;$A$2:$A$245&amp;",",", "&amp;O170&amp;",")),--($L$2:$L$245&lt;&gt;"Done")))</f>
        <v/>
      </c>
      <c r="Q170" s="3" t="inlineStr">
        <is>
          <t>open</t>
        </is>
      </c>
    </row>
    <row r="171">
      <c r="A171" s="2" t="inlineStr">
        <is>
          <t>REC-003</t>
        </is>
      </c>
      <c r="B171" s="2" t="n">
        <v>157</v>
      </c>
      <c r="C171" s="2" t="inlineStr">
        <is>
          <t>[RECON] Implement match, discrepancy and auto-match</t>
        </is>
      </c>
      <c r="D171" s="2" t="inlineStr">
        <is>
          <t>reconciliation</t>
        </is>
      </c>
      <c r="E171" s="2" t="inlineStr">
        <is>
          <t>[EPIC] M11 · Verification &amp; Reconciliation</t>
        </is>
      </c>
      <c r="F171" s="2" t="inlineStr">
        <is>
          <t>P0</t>
        </is>
      </c>
      <c r="G171" s="2" t="inlineStr">
        <is>
          <t>M1</t>
        </is>
      </c>
      <c r="H171" s="2" t="inlineStr">
        <is>
          <t>S</t>
        </is>
      </c>
      <c r="I171" s="2">
        <f>IF(H171="S",0.5,IF(H171="M",1,IF(H171="L",2,0)))</f>
        <v/>
      </c>
      <c r="J171" s="2" t="inlineStr">
        <is>
          <t>B</t>
        </is>
      </c>
      <c r="K171" s="2" t="inlineStr">
        <is>
          <t>backend</t>
        </is>
      </c>
      <c r="L171" s="2" t="inlineStr">
        <is>
          <t>Assigned</t>
        </is>
      </c>
      <c r="M171" s="2" t="inlineStr">
        <is>
          <t>Nostidus4</t>
        </is>
      </c>
      <c r="N171" s="2" t="inlineStr">
        <is>
          <t>OPEN</t>
        </is>
      </c>
      <c r="O171" s="2" t="inlineStr">
        <is>
          <t>REC-002</t>
        </is>
      </c>
      <c r="P171" s="2">
        <f>IF(O171="",0,SUMPRODUCT(--ISNUMBER(SEARCH(", "&amp;$A$2:$A$245&amp;",",", "&amp;O171&amp;",")),--($L$2:$L$245&lt;&gt;"Done")))</f>
        <v/>
      </c>
      <c r="Q171" s="3" t="inlineStr">
        <is>
          <t>open</t>
        </is>
      </c>
    </row>
    <row r="172">
      <c r="A172" s="2" t="inlineStr">
        <is>
          <t>REC-004</t>
        </is>
      </c>
      <c r="B172" s="2" t="n">
        <v>158</v>
      </c>
      <c r="C172" s="2" t="inlineStr">
        <is>
          <t>[RECON] Export reconciliation CSV and journal lines</t>
        </is>
      </c>
      <c r="D172" s="2" t="inlineStr">
        <is>
          <t>reconciliation</t>
        </is>
      </c>
      <c r="E172" s="2" t="inlineStr">
        <is>
          <t>[EPIC] M11 · Verification &amp; Reconciliation</t>
        </is>
      </c>
      <c r="F172" s="2" t="inlineStr">
        <is>
          <t>P1</t>
        </is>
      </c>
      <c r="G172" s="2" t="inlineStr">
        <is>
          <t>M1</t>
        </is>
      </c>
      <c r="H172" s="2" t="inlineStr">
        <is>
          <t>M</t>
        </is>
      </c>
      <c r="I172" s="2">
        <f>IF(H172="S",0.5,IF(H172="M",1,IF(H172="L",2,0)))</f>
        <v/>
      </c>
      <c r="J172" s="2" t="inlineStr">
        <is>
          <t>B</t>
        </is>
      </c>
      <c r="K172" s="2" t="inlineStr">
        <is>
          <t>backend</t>
        </is>
      </c>
      <c r="L172" s="2" t="inlineStr">
        <is>
          <t>Assigned</t>
        </is>
      </c>
      <c r="M172" s="2" t="inlineStr">
        <is>
          <t>Nostidus4</t>
        </is>
      </c>
      <c r="N172" s="2" t="inlineStr">
        <is>
          <t>OPEN</t>
        </is>
      </c>
      <c r="O172" s="2" t="inlineStr">
        <is>
          <t>REC-003</t>
        </is>
      </c>
      <c r="P172" s="2">
        <f>IF(O172="",0,SUMPRODUCT(--ISNUMBER(SEARCH(", "&amp;$A$2:$A$245&amp;",",", "&amp;O172&amp;",")),--($L$2:$L$245&lt;&gt;"Done")))</f>
        <v/>
      </c>
      <c r="Q172" s="3" t="inlineStr">
        <is>
          <t>open</t>
        </is>
      </c>
    </row>
    <row r="173">
      <c r="A173" s="2" t="inlineStr">
        <is>
          <t>REC-005</t>
        </is>
      </c>
      <c r="B173" s="2" t="n">
        <v>159</v>
      </c>
      <c r="C173" s="2" t="inlineStr">
        <is>
          <t>[RECON] Publish on-chain payment attestations</t>
        </is>
      </c>
      <c r="D173" s="2" t="inlineStr">
        <is>
          <t>reconciliation</t>
        </is>
      </c>
      <c r="E173" s="2" t="inlineStr">
        <is>
          <t>[EPIC] M11 · Verification &amp; Reconciliation</t>
        </is>
      </c>
      <c r="F173" s="2" t="inlineStr">
        <is>
          <t>P1</t>
        </is>
      </c>
      <c r="G173" s="2" t="inlineStr">
        <is>
          <t>M1</t>
        </is>
      </c>
      <c r="H173" s="2" t="inlineStr">
        <is>
          <t>S</t>
        </is>
      </c>
      <c r="I173" s="2">
        <f>IF(H173="S",0.5,IF(H173="M",1,IF(H173="L",2,0)))</f>
        <v/>
      </c>
      <c r="J173" s="2" t="inlineStr">
        <is>
          <t>A</t>
        </is>
      </c>
      <c r="K173" s="2" t="inlineStr">
        <is>
          <t>backend</t>
        </is>
      </c>
      <c r="L173" s="2" t="inlineStr">
        <is>
          <t>Assigned</t>
        </is>
      </c>
      <c r="M173" s="2" t="inlineStr">
        <is>
          <t>Nostidus4</t>
        </is>
      </c>
      <c r="N173" s="2" t="inlineStr">
        <is>
          <t>OPEN</t>
        </is>
      </c>
      <c r="O173" s="2" t="inlineStr">
        <is>
          <t>REC-002, SC-019</t>
        </is>
      </c>
      <c r="P173" s="2">
        <f>IF(O173="",0,SUMPRODUCT(--ISNUMBER(SEARCH(", "&amp;$A$2:$A$245&amp;",",", "&amp;O173&amp;",")),--($L$2:$L$245&lt;&gt;"Done")))</f>
        <v/>
      </c>
      <c r="Q173" s="3" t="inlineStr">
        <is>
          <t>open</t>
        </is>
      </c>
    </row>
    <row r="174">
      <c r="A174" s="2" t="inlineStr">
        <is>
          <t>REC-L01</t>
        </is>
      </c>
      <c r="B174" s="2" t="n">
        <v>160</v>
      </c>
      <c r="C174" s="2" t="inlineStr">
        <is>
          <t>[RECON] Build the ERP integration framework with Xero</t>
        </is>
      </c>
      <c r="D174" s="2" t="inlineStr">
        <is>
          <t>reconciliation</t>
        </is>
      </c>
      <c r="E174" s="2" t="inlineStr">
        <is>
          <t>[EPIC] M11 · Verification &amp; Reconciliation</t>
        </is>
      </c>
      <c r="F174" s="2" t="inlineStr">
        <is>
          <t>—</t>
        </is>
      </c>
      <c r="G174" s="2" t="inlineStr">
        <is>
          <t>Later</t>
        </is>
      </c>
      <c r="H174" s="2" t="inlineStr">
        <is>
          <t>L</t>
        </is>
      </c>
      <c r="I174" s="2">
        <f>IF(H174="S",0.5,IF(H174="M",1,IF(H174="L",2,0)))</f>
        <v/>
      </c>
      <c r="J174" s="2" t="inlineStr">
        <is>
          <t>Later</t>
        </is>
      </c>
      <c r="K174" s="2" t="inlineStr">
        <is>
          <t>backend</t>
        </is>
      </c>
      <c r="L174" s="2" t="inlineStr">
        <is>
          <t>Accepted</t>
        </is>
      </c>
      <c r="M174" s="2" t="inlineStr"/>
      <c r="N174" s="2" t="inlineStr">
        <is>
          <t>OPEN</t>
        </is>
      </c>
      <c r="O174" s="2" t="inlineStr">
        <is>
          <t>REC-004</t>
        </is>
      </c>
      <c r="P174" s="2">
        <f>IF(O174="",0,SUMPRODUCT(--ISNUMBER(SEARCH(", "&amp;$A$2:$A$245&amp;",",", "&amp;O174&amp;",")),--($L$2:$L$245&lt;&gt;"Done")))</f>
        <v/>
      </c>
      <c r="Q174" s="3" t="inlineStr">
        <is>
          <t>open</t>
        </is>
      </c>
    </row>
    <row r="175">
      <c r="A175" s="2" t="inlineStr">
        <is>
          <t>REC-L02</t>
        </is>
      </c>
      <c r="B175" s="2" t="n">
        <v>161</v>
      </c>
      <c r="C175" s="2" t="inlineStr">
        <is>
          <t>[RECON] Add the QuickBooks connector</t>
        </is>
      </c>
      <c r="D175" s="2" t="inlineStr">
        <is>
          <t>reconciliation</t>
        </is>
      </c>
      <c r="E175" s="2" t="inlineStr">
        <is>
          <t>[EPIC] M11 · Verification &amp; Reconciliation</t>
        </is>
      </c>
      <c r="F175" s="2" t="inlineStr">
        <is>
          <t>—</t>
        </is>
      </c>
      <c r="G175" s="2" t="inlineStr">
        <is>
          <t>Later</t>
        </is>
      </c>
      <c r="H175" s="2" t="inlineStr">
        <is>
          <t>M</t>
        </is>
      </c>
      <c r="I175" s="2">
        <f>IF(H175="S",0.5,IF(H175="M",1,IF(H175="L",2,0)))</f>
        <v/>
      </c>
      <c r="J175" s="2" t="inlineStr">
        <is>
          <t>Later</t>
        </is>
      </c>
      <c r="K175" s="2" t="inlineStr">
        <is>
          <t>backend</t>
        </is>
      </c>
      <c r="L175" s="2" t="inlineStr">
        <is>
          <t>Accepted</t>
        </is>
      </c>
      <c r="M175" s="2" t="inlineStr"/>
      <c r="N175" s="2" t="inlineStr">
        <is>
          <t>OPEN</t>
        </is>
      </c>
      <c r="O175" s="2" t="inlineStr">
        <is>
          <t>REC-L01</t>
        </is>
      </c>
      <c r="P175" s="2">
        <f>IF(O175="",0,SUMPRODUCT(--ISNUMBER(SEARCH(", "&amp;$A$2:$A$245&amp;",",", "&amp;O175&amp;",")),--($L$2:$L$245&lt;&gt;"Done")))</f>
        <v/>
      </c>
      <c r="Q175" s="3" t="inlineStr">
        <is>
          <t>open</t>
        </is>
      </c>
    </row>
    <row r="176">
      <c r="A176" s="2" t="inlineStr">
        <is>
          <t>REC-L03</t>
        </is>
      </c>
      <c r="B176" s="2" t="n">
        <v>162</v>
      </c>
      <c r="C176" s="2" t="inlineStr">
        <is>
          <t>[RECON] Add the NetSuite connector</t>
        </is>
      </c>
      <c r="D176" s="2" t="inlineStr">
        <is>
          <t>reconciliation</t>
        </is>
      </c>
      <c r="E176" s="2" t="inlineStr">
        <is>
          <t>[EPIC] M11 · Verification &amp; Reconciliation</t>
        </is>
      </c>
      <c r="F176" s="2" t="inlineStr">
        <is>
          <t>—</t>
        </is>
      </c>
      <c r="G176" s="2" t="inlineStr">
        <is>
          <t>Later</t>
        </is>
      </c>
      <c r="H176" s="2" t="inlineStr">
        <is>
          <t>M</t>
        </is>
      </c>
      <c r="I176" s="2">
        <f>IF(H176="S",0.5,IF(H176="M",1,IF(H176="L",2,0)))</f>
        <v/>
      </c>
      <c r="J176" s="2" t="inlineStr">
        <is>
          <t>Later</t>
        </is>
      </c>
      <c r="K176" s="2" t="inlineStr">
        <is>
          <t>backend</t>
        </is>
      </c>
      <c r="L176" s="2" t="inlineStr">
        <is>
          <t>Accepted</t>
        </is>
      </c>
      <c r="M176" s="2" t="inlineStr"/>
      <c r="N176" s="2" t="inlineStr">
        <is>
          <t>OPEN</t>
        </is>
      </c>
      <c r="O176" s="2" t="inlineStr">
        <is>
          <t>REC-L01</t>
        </is>
      </c>
      <c r="P176" s="2">
        <f>IF(O176="",0,SUMPRODUCT(--ISNUMBER(SEARCH(", "&amp;$A$2:$A$245&amp;",",", "&amp;O176&amp;",")),--($L$2:$L$245&lt;&gt;"Done")))</f>
        <v/>
      </c>
      <c r="Q176" s="3" t="inlineStr">
        <is>
          <t>open</t>
        </is>
      </c>
    </row>
    <row r="177">
      <c r="A177" s="2" t="inlineStr">
        <is>
          <t>SC-001</t>
        </is>
      </c>
      <c r="B177" s="2" t="n">
        <v>24</v>
      </c>
      <c r="C177" s="2" t="inlineStr">
        <is>
          <t>[CONTRACTS] Set up the Foundry project with pinned dependencies</t>
        </is>
      </c>
      <c r="D177" s="2" t="inlineStr">
        <is>
          <t>contracts</t>
        </is>
      </c>
      <c r="E177" s="2" t="inlineStr">
        <is>
          <t>[EPIC] M04 · Smart Contracts</t>
        </is>
      </c>
      <c r="F177" s="2" t="inlineStr">
        <is>
          <t>P0</t>
        </is>
      </c>
      <c r="G177" s="2" t="inlineStr">
        <is>
          <t>M1</t>
        </is>
      </c>
      <c r="H177" s="2" t="inlineStr">
        <is>
          <t>S</t>
        </is>
      </c>
      <c r="I177" s="2">
        <f>IF(H177="S",0.5,IF(H177="M",1,IF(H177="L",2,0)))</f>
        <v/>
      </c>
      <c r="J177" s="2" t="inlineStr">
        <is>
          <t>A</t>
        </is>
      </c>
      <c r="K177" s="2" t="inlineStr">
        <is>
          <t>contracts</t>
        </is>
      </c>
      <c r="L177" s="2" t="inlineStr">
        <is>
          <t>Done</t>
        </is>
      </c>
      <c r="M177" s="2" t="inlineStr"/>
      <c r="N177" s="2" t="inlineStr">
        <is>
          <t>CLOSED</t>
        </is>
      </c>
      <c r="O177" s="2" t="inlineStr">
        <is>
          <t>DEV-001</t>
        </is>
      </c>
      <c r="P177" s="2">
        <f>IF(O177="",0,SUMPRODUCT(--ISNUMBER(SEARCH(", "&amp;$A$2:$A$245&amp;",",", "&amp;O177&amp;",")),--($L$2:$L$245&lt;&gt;"Done")))</f>
        <v/>
      </c>
      <c r="Q177" s="3" t="inlineStr">
        <is>
          <t>open</t>
        </is>
      </c>
    </row>
    <row r="178">
      <c r="A178" s="2" t="inlineStr">
        <is>
          <t>SC-002</t>
        </is>
      </c>
      <c r="B178" s="2" t="n">
        <v>28</v>
      </c>
      <c r="C178" s="2" t="inlineStr">
        <is>
          <t>[CONTRACTS] Define module storage, structs, EIP-712 domain, errors and events</t>
        </is>
      </c>
      <c r="D178" s="2" t="inlineStr">
        <is>
          <t>contracts</t>
        </is>
      </c>
      <c r="E178" s="2" t="inlineStr">
        <is>
          <t>[EPIC] M04 · Smart Contracts</t>
        </is>
      </c>
      <c r="F178" s="2" t="inlineStr">
        <is>
          <t>P0</t>
        </is>
      </c>
      <c r="G178" s="2" t="inlineStr">
        <is>
          <t>M1</t>
        </is>
      </c>
      <c r="H178" s="2" t="inlineStr">
        <is>
          <t>M</t>
        </is>
      </c>
      <c r="I178" s="2">
        <f>IF(H178="S",0.5,IF(H178="M",1,IF(H178="L",2,0)))</f>
        <v/>
      </c>
      <c r="J178" s="2" t="inlineStr">
        <is>
          <t>A</t>
        </is>
      </c>
      <c r="K178" s="2" t="inlineStr">
        <is>
          <t>contracts</t>
        </is>
      </c>
      <c r="L178" s="2" t="inlineStr">
        <is>
          <t>Assigned</t>
        </is>
      </c>
      <c r="M178" s="2" t="inlineStr">
        <is>
          <t>longhuynh55</t>
        </is>
      </c>
      <c r="N178" s="2" t="inlineStr">
        <is>
          <t>OPEN</t>
        </is>
      </c>
      <c r="O178" s="2" t="inlineStr">
        <is>
          <t>SC-001</t>
        </is>
      </c>
      <c r="P178" s="2">
        <f>IF(O178="",0,SUMPRODUCT(--ISNUMBER(SEARCH(", "&amp;$A$2:$A$245&amp;",",", "&amp;O178&amp;",")),--($L$2:$L$245&lt;&gt;"Done")))</f>
        <v/>
      </c>
      <c r="Q178" s="3" t="inlineStr">
        <is>
          <t>open</t>
        </is>
      </c>
    </row>
    <row r="179">
      <c r="A179" s="2" t="inlineStr">
        <is>
          <t>SC-003</t>
        </is>
      </c>
      <c r="B179" s="2" t="n">
        <v>29</v>
      </c>
      <c r="C179" s="2" t="inlineStr">
        <is>
          <t>[CONTRACTS] Implement mandate governance and versioning</t>
        </is>
      </c>
      <c r="D179" s="2" t="inlineStr">
        <is>
          <t>contracts</t>
        </is>
      </c>
      <c r="E179" s="2" t="inlineStr">
        <is>
          <t>[EPIC] M04 · Smart Contracts</t>
        </is>
      </c>
      <c r="F179" s="2" t="inlineStr">
        <is>
          <t>P0</t>
        </is>
      </c>
      <c r="G179" s="2" t="inlineStr">
        <is>
          <t>M1</t>
        </is>
      </c>
      <c r="H179" s="2" t="inlineStr">
        <is>
          <t>M</t>
        </is>
      </c>
      <c r="I179" s="2">
        <f>IF(H179="S",0.5,IF(H179="M",1,IF(H179="L",2,0)))</f>
        <v/>
      </c>
      <c r="J179" s="2" t="inlineStr">
        <is>
          <t>A</t>
        </is>
      </c>
      <c r="K179" s="2" t="inlineStr">
        <is>
          <t>contracts</t>
        </is>
      </c>
      <c r="L179" s="2" t="inlineStr">
        <is>
          <t>Assigned</t>
        </is>
      </c>
      <c r="M179" s="2" t="inlineStr">
        <is>
          <t>longhuynh55</t>
        </is>
      </c>
      <c r="N179" s="2" t="inlineStr">
        <is>
          <t>OPEN</t>
        </is>
      </c>
      <c r="O179" s="2" t="inlineStr">
        <is>
          <t>SC-021</t>
        </is>
      </c>
      <c r="P179" s="2">
        <f>IF(O179="",0,SUMPRODUCT(--ISNUMBER(SEARCH(", "&amp;$A$2:$A$245&amp;",",", "&amp;O179&amp;",")),--($L$2:$L$245&lt;&gt;"Done")))</f>
        <v/>
      </c>
      <c r="Q179" s="3" t="inlineStr">
        <is>
          <t>open</t>
        </is>
      </c>
    </row>
    <row r="180">
      <c r="A180" s="2" t="inlineStr">
        <is>
          <t>SC-004</t>
        </is>
      </c>
      <c r="B180" s="2" t="n">
        <v>73</v>
      </c>
      <c r="C180" s="2" t="inlineStr">
        <is>
          <t>[CONTRACTS] Implement the payee registry with cooling period</t>
        </is>
      </c>
      <c r="D180" s="2" t="inlineStr">
        <is>
          <t>contracts</t>
        </is>
      </c>
      <c r="E180" s="2" t="inlineStr">
        <is>
          <t>[EPIC] M04 · Smart Contracts</t>
        </is>
      </c>
      <c r="F180" s="2" t="inlineStr">
        <is>
          <t>P0</t>
        </is>
      </c>
      <c r="G180" s="2" t="inlineStr">
        <is>
          <t>M1</t>
        </is>
      </c>
      <c r="H180" s="2" t="inlineStr">
        <is>
          <t>S</t>
        </is>
      </c>
      <c r="I180" s="2">
        <f>IF(H180="S",0.5,IF(H180="M",1,IF(H180="L",2,0)))</f>
        <v/>
      </c>
      <c r="J180" s="2" t="inlineStr">
        <is>
          <t>A</t>
        </is>
      </c>
      <c r="K180" s="2" t="inlineStr">
        <is>
          <t>contracts</t>
        </is>
      </c>
      <c r="L180" s="2" t="inlineStr">
        <is>
          <t>Assigned</t>
        </is>
      </c>
      <c r="M180" s="2" t="inlineStr">
        <is>
          <t>longhuynh55</t>
        </is>
      </c>
      <c r="N180" s="2" t="inlineStr">
        <is>
          <t>OPEN</t>
        </is>
      </c>
      <c r="O180" s="2" t="inlineStr">
        <is>
          <t>SC-003</t>
        </is>
      </c>
      <c r="P180" s="2">
        <f>IF(O180="",0,SUMPRODUCT(--ISNUMBER(SEARCH(", "&amp;$A$2:$A$245&amp;",",", "&amp;O180&amp;",")),--($L$2:$L$245&lt;&gt;"Done")))</f>
        <v/>
      </c>
      <c r="Q180" s="3" t="inlineStr">
        <is>
          <t>open</t>
        </is>
      </c>
    </row>
    <row r="181">
      <c r="A181" s="2" t="inlineStr">
        <is>
          <t>SC-005</t>
        </is>
      </c>
      <c r="B181" s="2" t="n">
        <v>55</v>
      </c>
      <c r="C181" s="2" t="inlineStr">
        <is>
          <t>[CONTRACTS] Implement approval signature verification</t>
        </is>
      </c>
      <c r="D181" s="2" t="inlineStr">
        <is>
          <t>contracts</t>
        </is>
      </c>
      <c r="E181" s="2" t="inlineStr">
        <is>
          <t>[EPIC] M04 · Smart Contracts</t>
        </is>
      </c>
      <c r="F181" s="2" t="inlineStr">
        <is>
          <t>P0</t>
        </is>
      </c>
      <c r="G181" s="2" t="inlineStr">
        <is>
          <t>M1</t>
        </is>
      </c>
      <c r="H181" s="2" t="inlineStr">
        <is>
          <t>M</t>
        </is>
      </c>
      <c r="I181" s="2">
        <f>IF(H181="S",0.5,IF(H181="M",1,IF(H181="L",2,0)))</f>
        <v/>
      </c>
      <c r="J181" s="2" t="inlineStr">
        <is>
          <t>A</t>
        </is>
      </c>
      <c r="K181" s="2" t="inlineStr">
        <is>
          <t>contracts</t>
        </is>
      </c>
      <c r="L181" s="2" t="inlineStr">
        <is>
          <t>Assigned</t>
        </is>
      </c>
      <c r="M181" s="2" t="inlineStr">
        <is>
          <t>longhuynh55</t>
        </is>
      </c>
      <c r="N181" s="2" t="inlineStr">
        <is>
          <t>OPEN</t>
        </is>
      </c>
      <c r="O181" s="2" t="inlineStr">
        <is>
          <t>SC-002</t>
        </is>
      </c>
      <c r="P181" s="2">
        <f>IF(O181="",0,SUMPRODUCT(--ISNUMBER(SEARCH(", "&amp;$A$2:$A$245&amp;",",", "&amp;O181&amp;",")),--($L$2:$L$245&lt;&gt;"Done")))</f>
        <v/>
      </c>
      <c r="Q181" s="3" t="inlineStr">
        <is>
          <t>open</t>
        </is>
      </c>
    </row>
    <row r="182">
      <c r="A182" s="2" t="inlineStr">
        <is>
          <t>SC-006</t>
        </is>
      </c>
      <c r="B182" s="2" t="n">
        <v>74</v>
      </c>
      <c r="C182" s="2" t="inlineStr">
        <is>
          <t>[CONTRACTS] Implement pay() core flow</t>
        </is>
      </c>
      <c r="D182" s="2" t="inlineStr">
        <is>
          <t>contracts</t>
        </is>
      </c>
      <c r="E182" s="2" t="inlineStr">
        <is>
          <t>[EPIC] M04 · Smart Contracts</t>
        </is>
      </c>
      <c r="F182" s="2" t="inlineStr">
        <is>
          <t>P0</t>
        </is>
      </c>
      <c r="G182" s="2" t="inlineStr">
        <is>
          <t>M1</t>
        </is>
      </c>
      <c r="H182" s="2" t="inlineStr">
        <is>
          <t>M</t>
        </is>
      </c>
      <c r="I182" s="2">
        <f>IF(H182="S",0.5,IF(H182="M",1,IF(H182="L",2,0)))</f>
        <v/>
      </c>
      <c r="J182" s="2" t="inlineStr">
        <is>
          <t>A</t>
        </is>
      </c>
      <c r="K182" s="2" t="inlineStr">
        <is>
          <t>contracts</t>
        </is>
      </c>
      <c r="L182" s="2" t="inlineStr">
        <is>
          <t>Assigned</t>
        </is>
      </c>
      <c r="M182" s="2" t="inlineStr">
        <is>
          <t>longhuynh55</t>
        </is>
      </c>
      <c r="N182" s="2" t="inlineStr">
        <is>
          <t>OPEN</t>
        </is>
      </c>
      <c r="O182" s="2" t="inlineStr">
        <is>
          <t>SC-004, SC-005</t>
        </is>
      </c>
      <c r="P182" s="2">
        <f>IF(O182="",0,SUMPRODUCT(--ISNUMBER(SEARCH(", "&amp;$A$2:$A$245&amp;",",", "&amp;O182&amp;",")),--($L$2:$L$245&lt;&gt;"Done")))</f>
        <v/>
      </c>
      <c r="Q182" s="3" t="inlineStr">
        <is>
          <t>open</t>
        </is>
      </c>
    </row>
    <row r="183">
      <c r="A183" s="2" t="inlineStr">
        <is>
          <t>SC-007</t>
        </is>
      </c>
      <c r="B183" s="2" t="n">
        <v>75</v>
      </c>
      <c r="C183" s="2" t="inlineStr">
        <is>
          <t>[CONTRACTS] Implement per-request limits and UTC daily counters</t>
        </is>
      </c>
      <c r="D183" s="2" t="inlineStr">
        <is>
          <t>contracts</t>
        </is>
      </c>
      <c r="E183" s="2" t="inlineStr">
        <is>
          <t>[EPIC] M04 · Smart Contracts</t>
        </is>
      </c>
      <c r="F183" s="2" t="inlineStr">
        <is>
          <t>P0</t>
        </is>
      </c>
      <c r="G183" s="2" t="inlineStr">
        <is>
          <t>M1</t>
        </is>
      </c>
      <c r="H183" s="2" t="inlineStr">
        <is>
          <t>M</t>
        </is>
      </c>
      <c r="I183" s="2">
        <f>IF(H183="S",0.5,IF(H183="M",1,IF(H183="L",2,0)))</f>
        <v/>
      </c>
      <c r="J183" s="2" t="inlineStr">
        <is>
          <t>A</t>
        </is>
      </c>
      <c r="K183" s="2" t="inlineStr">
        <is>
          <t>contracts</t>
        </is>
      </c>
      <c r="L183" s="2" t="inlineStr">
        <is>
          <t>Assigned</t>
        </is>
      </c>
      <c r="M183" s="2" t="inlineStr">
        <is>
          <t>longhuynh55</t>
        </is>
      </c>
      <c r="N183" s="2" t="inlineStr">
        <is>
          <t>OPEN</t>
        </is>
      </c>
      <c r="O183" s="2" t="inlineStr">
        <is>
          <t>SC-006</t>
        </is>
      </c>
      <c r="P183" s="2">
        <f>IF(O183="",0,SUMPRODUCT(--ISNUMBER(SEARCH(", "&amp;$A$2:$A$245&amp;",",", "&amp;O183&amp;",")),--($L$2:$L$245&lt;&gt;"Done")))</f>
        <v/>
      </c>
      <c r="Q183" s="3" t="inlineStr">
        <is>
          <t>open</t>
        </is>
      </c>
    </row>
    <row r="184">
      <c r="A184" s="2" t="inlineStr">
        <is>
          <t>SC-008</t>
        </is>
      </c>
      <c r="B184" s="2" t="n">
        <v>76</v>
      </c>
      <c r="C184" s="2" t="inlineStr">
        <is>
          <t>[CONTRACTS] Enforce minimum buffers on pay and refill</t>
        </is>
      </c>
      <c r="D184" s="2" t="inlineStr">
        <is>
          <t>contracts</t>
        </is>
      </c>
      <c r="E184" s="2" t="inlineStr">
        <is>
          <t>[EPIC] M04 · Smart Contracts</t>
        </is>
      </c>
      <c r="F184" s="2" t="inlineStr">
        <is>
          <t>P0</t>
        </is>
      </c>
      <c r="G184" s="2" t="inlineStr">
        <is>
          <t>M1</t>
        </is>
      </c>
      <c r="H184" s="2" t="inlineStr">
        <is>
          <t>S</t>
        </is>
      </c>
      <c r="I184" s="2">
        <f>IF(H184="S",0.5,IF(H184="M",1,IF(H184="L",2,0)))</f>
        <v/>
      </c>
      <c r="J184" s="2" t="inlineStr">
        <is>
          <t>A</t>
        </is>
      </c>
      <c r="K184" s="2" t="inlineStr">
        <is>
          <t>contracts</t>
        </is>
      </c>
      <c r="L184" s="2" t="inlineStr">
        <is>
          <t>Assigned</t>
        </is>
      </c>
      <c r="M184" s="2" t="inlineStr">
        <is>
          <t>longhuynh55</t>
        </is>
      </c>
      <c r="N184" s="2" t="inlineStr">
        <is>
          <t>OPEN</t>
        </is>
      </c>
      <c r="O184" s="2" t="inlineStr">
        <is>
          <t>SC-006</t>
        </is>
      </c>
      <c r="P184" s="2">
        <f>IF(O184="",0,SUMPRODUCT(--ISNUMBER(SEARCH(", "&amp;$A$2:$A$245&amp;",",", "&amp;O184&amp;",")),--($L$2:$L$245&lt;&gt;"Done")))</f>
        <v/>
      </c>
      <c r="Q184" s="3" t="inlineStr">
        <is>
          <t>open</t>
        </is>
      </c>
    </row>
    <row r="185">
      <c r="A185" s="2" t="inlineStr">
        <is>
          <t>SC-009</t>
        </is>
      </c>
      <c r="B185" s="2" t="n">
        <v>77</v>
      </c>
      <c r="C185" s="2" t="inlineStr">
        <is>
          <t>[CONTRACTS] Implement refill() bound to an approved request</t>
        </is>
      </c>
      <c r="D185" s="2" t="inlineStr">
        <is>
          <t>contracts</t>
        </is>
      </c>
      <c r="E185" s="2" t="inlineStr">
        <is>
          <t>[EPIC] M04 · Smart Contracts</t>
        </is>
      </c>
      <c r="F185" s="2" t="inlineStr">
        <is>
          <t>P0</t>
        </is>
      </c>
      <c r="G185" s="2" t="inlineStr">
        <is>
          <t>M1</t>
        </is>
      </c>
      <c r="H185" s="2" t="inlineStr">
        <is>
          <t>M</t>
        </is>
      </c>
      <c r="I185" s="2">
        <f>IF(H185="S",0.5,IF(H185="M",1,IF(H185="L",2,0)))</f>
        <v/>
      </c>
      <c r="J185" s="2" t="inlineStr">
        <is>
          <t>A</t>
        </is>
      </c>
      <c r="K185" s="2" t="inlineStr">
        <is>
          <t>contracts</t>
        </is>
      </c>
      <c r="L185" s="2" t="inlineStr">
        <is>
          <t>Assigned</t>
        </is>
      </c>
      <c r="M185" s="2" t="inlineStr">
        <is>
          <t>longhuynh55</t>
        </is>
      </c>
      <c r="N185" s="2" t="inlineStr">
        <is>
          <t>OPEN</t>
        </is>
      </c>
      <c r="O185" s="2" t="inlineStr">
        <is>
          <t>SC-005, SC-007, SC-008</t>
        </is>
      </c>
      <c r="P185" s="2">
        <f>IF(O185="",0,SUMPRODUCT(--ISNUMBER(SEARCH(", "&amp;$A$2:$A$245&amp;",",", "&amp;O185&amp;",")),--($L$2:$L$245&lt;&gt;"Done")))</f>
        <v/>
      </c>
      <c r="Q185" s="3" t="inlineStr">
        <is>
          <t>open</t>
        </is>
      </c>
    </row>
    <row r="186">
      <c r="A186" s="2" t="inlineStr">
        <is>
          <t>SC-010</t>
        </is>
      </c>
      <c r="B186" s="2" t="n">
        <v>30</v>
      </c>
      <c r="C186" s="2" t="inlineStr">
        <is>
          <t>[CONTRACTS] Implement pause, resume, revoke and guardian</t>
        </is>
      </c>
      <c r="D186" s="2" t="inlineStr">
        <is>
          <t>contracts</t>
        </is>
      </c>
      <c r="E186" s="2" t="inlineStr">
        <is>
          <t>[EPIC] M04 · Smart Contracts</t>
        </is>
      </c>
      <c r="F186" s="2" t="inlineStr">
        <is>
          <t>P0</t>
        </is>
      </c>
      <c r="G186" s="2" t="inlineStr">
        <is>
          <t>M1</t>
        </is>
      </c>
      <c r="H186" s="2" t="inlineStr">
        <is>
          <t>S</t>
        </is>
      </c>
      <c r="I186" s="2">
        <f>IF(H186="S",0.5,IF(H186="M",1,IF(H186="L",2,0)))</f>
        <v/>
      </c>
      <c r="J186" s="2" t="inlineStr">
        <is>
          <t>A</t>
        </is>
      </c>
      <c r="K186" s="2" t="inlineStr">
        <is>
          <t>contracts</t>
        </is>
      </c>
      <c r="L186" s="2" t="inlineStr">
        <is>
          <t>Assigned</t>
        </is>
      </c>
      <c r="M186" s="2" t="inlineStr">
        <is>
          <t>longhuynh55</t>
        </is>
      </c>
      <c r="N186" s="2" t="inlineStr">
        <is>
          <t>OPEN</t>
        </is>
      </c>
      <c r="O186" s="2" t="inlineStr">
        <is>
          <t>SC-003</t>
        </is>
      </c>
      <c r="P186" s="2">
        <f>IF(O186="",0,SUMPRODUCT(--ISNUMBER(SEARCH(", "&amp;$A$2:$A$245&amp;",",", "&amp;O186&amp;",")),--($L$2:$L$245&lt;&gt;"Done")))</f>
        <v/>
      </c>
      <c r="Q186" s="3" t="inlineStr">
        <is>
          <t>open</t>
        </is>
      </c>
    </row>
    <row r="187">
      <c r="A187" s="2" t="inlineStr">
        <is>
          <t>SC-011</t>
        </is>
      </c>
      <c r="B187" s="2" t="n">
        <v>78</v>
      </c>
      <c r="C187" s="2" t="inlineStr">
        <is>
          <t>[CONTRACTS] Implement one-time exceptions via owner governance</t>
        </is>
      </c>
      <c r="D187" s="2" t="inlineStr">
        <is>
          <t>contracts</t>
        </is>
      </c>
      <c r="E187" s="2" t="inlineStr">
        <is>
          <t>[EPIC] M04 · Smart Contracts</t>
        </is>
      </c>
      <c r="F187" s="2" t="inlineStr">
        <is>
          <t>P1</t>
        </is>
      </c>
      <c r="G187" s="2" t="inlineStr">
        <is>
          <t>M1</t>
        </is>
      </c>
      <c r="H187" s="2" t="inlineStr">
        <is>
          <t>M</t>
        </is>
      </c>
      <c r="I187" s="2">
        <f>IF(H187="S",0.5,IF(H187="M",1,IF(H187="L",2,0)))</f>
        <v/>
      </c>
      <c r="J187" s="2" t="inlineStr">
        <is>
          <t>B</t>
        </is>
      </c>
      <c r="K187" s="2" t="inlineStr">
        <is>
          <t>contracts</t>
        </is>
      </c>
      <c r="L187" s="2" t="inlineStr">
        <is>
          <t>Assigned</t>
        </is>
      </c>
      <c r="M187" s="2" t="inlineStr">
        <is>
          <t>longhuynh55</t>
        </is>
      </c>
      <c r="N187" s="2" t="inlineStr">
        <is>
          <t>OPEN</t>
        </is>
      </c>
      <c r="O187" s="2" t="inlineStr">
        <is>
          <t>SC-007</t>
        </is>
      </c>
      <c r="P187" s="2">
        <f>IF(O187="",0,SUMPRODUCT(--ISNUMBER(SEARCH(", "&amp;$A$2:$A$245&amp;",",", "&amp;O187&amp;",")),--($L$2:$L$245&lt;&gt;"Done")))</f>
        <v/>
      </c>
      <c r="Q187" s="3" t="inlineStr">
        <is>
          <t>open</t>
        </is>
      </c>
    </row>
    <row r="188">
      <c r="A188" s="2" t="inlineStr">
        <is>
          <t>SC-012</t>
        </is>
      </c>
      <c r="B188" s="2" t="n">
        <v>79</v>
      </c>
      <c r="C188" s="2" t="inlineStr">
        <is>
          <t>[CONTRACTS] Add the duplicate-invoice fingerprint registry and owner override</t>
        </is>
      </c>
      <c r="D188" s="2" t="inlineStr">
        <is>
          <t>contracts</t>
        </is>
      </c>
      <c r="E188" s="2" t="inlineStr">
        <is>
          <t>[EPIC] M04 · Smart Contracts</t>
        </is>
      </c>
      <c r="F188" s="2" t="inlineStr">
        <is>
          <t>P0</t>
        </is>
      </c>
      <c r="G188" s="2" t="inlineStr">
        <is>
          <t>M1</t>
        </is>
      </c>
      <c r="H188" s="2" t="inlineStr">
        <is>
          <t>S</t>
        </is>
      </c>
      <c r="I188" s="2">
        <f>IF(H188="S",0.5,IF(H188="M",1,IF(H188="L",2,0)))</f>
        <v/>
      </c>
      <c r="J188" s="2" t="inlineStr">
        <is>
          <t>A</t>
        </is>
      </c>
      <c r="K188" s="2" t="inlineStr">
        <is>
          <t>contracts</t>
        </is>
      </c>
      <c r="L188" s="2" t="inlineStr">
        <is>
          <t>Assigned</t>
        </is>
      </c>
      <c r="M188" s="2" t="inlineStr">
        <is>
          <t>longhuynh55</t>
        </is>
      </c>
      <c r="N188" s="2" t="inlineStr">
        <is>
          <t>OPEN</t>
        </is>
      </c>
      <c r="O188" s="2" t="inlineStr">
        <is>
          <t>SC-006</t>
        </is>
      </c>
      <c r="P188" s="2">
        <f>IF(O188="",0,SUMPRODUCT(--ISNUMBER(SEARCH(", "&amp;$A$2:$A$245&amp;",",", "&amp;O188&amp;",")),--($L$2:$L$245&lt;&gt;"Done")))</f>
        <v/>
      </c>
      <c r="Q188" s="3" t="inlineStr">
        <is>
          <t>open</t>
        </is>
      </c>
    </row>
    <row r="189">
      <c r="A189" s="2" t="inlineStr">
        <is>
          <t>SC-013</t>
        </is>
      </c>
      <c r="B189" s="2" t="n">
        <v>80</v>
      </c>
      <c r="C189" s="2" t="inlineStr">
        <is>
          <t>[CONTRACTS] Write the contract acceptance test suite (AT cases)</t>
        </is>
      </c>
      <c r="D189" s="2" t="inlineStr">
        <is>
          <t>contracts</t>
        </is>
      </c>
      <c r="E189" s="2" t="inlineStr">
        <is>
          <t>[EPIC] M04 · Smart Contracts</t>
        </is>
      </c>
      <c r="F189" s="2" t="inlineStr">
        <is>
          <t>P0</t>
        </is>
      </c>
      <c r="G189" s="2" t="inlineStr">
        <is>
          <t>M1</t>
        </is>
      </c>
      <c r="H189" s="2" t="inlineStr">
        <is>
          <t>M</t>
        </is>
      </c>
      <c r="I189" s="2">
        <f>IF(H189="S",0.5,IF(H189="M",1,IF(H189="L",2,0)))</f>
        <v/>
      </c>
      <c r="J189" s="2" t="inlineStr">
        <is>
          <t>A</t>
        </is>
      </c>
      <c r="K189" s="2" t="inlineStr">
        <is>
          <t>contracts</t>
        </is>
      </c>
      <c r="L189" s="2" t="inlineStr">
        <is>
          <t>Assigned</t>
        </is>
      </c>
      <c r="M189" s="2" t="inlineStr">
        <is>
          <t>longhuynh55</t>
        </is>
      </c>
      <c r="N189" s="2" t="inlineStr">
        <is>
          <t>OPEN</t>
        </is>
      </c>
      <c r="O189" s="2" t="inlineStr">
        <is>
          <t>SC-009, SC-010, SC-012</t>
        </is>
      </c>
      <c r="P189" s="2">
        <f>IF(O189="",0,SUMPRODUCT(--ISNUMBER(SEARCH(", "&amp;$A$2:$A$245&amp;",",", "&amp;O189&amp;",")),--($L$2:$L$245&lt;&gt;"Done")))</f>
        <v/>
      </c>
      <c r="Q189" s="3" t="inlineStr">
        <is>
          <t>open</t>
        </is>
      </c>
    </row>
    <row r="190">
      <c r="A190" s="2" t="inlineStr">
        <is>
          <t>SC-014</t>
        </is>
      </c>
      <c r="B190" s="2" t="n">
        <v>81</v>
      </c>
      <c r="C190" s="2" t="inlineStr">
        <is>
          <t>[CONTRACTS] Write the invariant and fuzz suite</t>
        </is>
      </c>
      <c r="D190" s="2" t="inlineStr">
        <is>
          <t>contracts</t>
        </is>
      </c>
      <c r="E190" s="2" t="inlineStr">
        <is>
          <t>[EPIC] M04 · Smart Contracts</t>
        </is>
      </c>
      <c r="F190" s="2" t="inlineStr">
        <is>
          <t>P0</t>
        </is>
      </c>
      <c r="G190" s="2" t="inlineStr">
        <is>
          <t>M1</t>
        </is>
      </c>
      <c r="H190" s="2" t="inlineStr">
        <is>
          <t>M</t>
        </is>
      </c>
      <c r="I190" s="2">
        <f>IF(H190="S",0.5,IF(H190="M",1,IF(H190="L",2,0)))</f>
        <v/>
      </c>
      <c r="J190" s="2" t="inlineStr">
        <is>
          <t>A</t>
        </is>
      </c>
      <c r="K190" s="2" t="inlineStr">
        <is>
          <t>contracts</t>
        </is>
      </c>
      <c r="L190" s="2" t="inlineStr">
        <is>
          <t>Assigned</t>
        </is>
      </c>
      <c r="M190" s="2" t="inlineStr">
        <is>
          <t>longhuynh55</t>
        </is>
      </c>
      <c r="N190" s="2" t="inlineStr">
        <is>
          <t>OPEN</t>
        </is>
      </c>
      <c r="O190" s="2" t="inlineStr">
        <is>
          <t>SC-013, SC-022</t>
        </is>
      </c>
      <c r="P190" s="2">
        <f>IF(O190="",0,SUMPRODUCT(--ISNUMBER(SEARCH(", "&amp;$A$2:$A$245&amp;",",", "&amp;O190&amp;",")),--($L$2:$L$245&lt;&gt;"Done")))</f>
        <v/>
      </c>
      <c r="Q190" s="3" t="inlineStr">
        <is>
          <t>open</t>
        </is>
      </c>
    </row>
    <row r="191">
      <c r="A191" s="2" t="inlineStr">
        <is>
          <t>SC-015</t>
        </is>
      </c>
      <c r="B191" s="2" t="n">
        <v>82</v>
      </c>
      <c r="C191" s="2" t="inlineStr">
        <is>
          <t>[CONTRACTS] Run static analysis and write the findings report</t>
        </is>
      </c>
      <c r="D191" s="2" t="inlineStr">
        <is>
          <t>contracts</t>
        </is>
      </c>
      <c r="E191" s="2" t="inlineStr">
        <is>
          <t>[EPIC] M04 · Smart Contracts</t>
        </is>
      </c>
      <c r="F191" s="2" t="inlineStr">
        <is>
          <t>P0</t>
        </is>
      </c>
      <c r="G191" s="2" t="inlineStr">
        <is>
          <t>M1</t>
        </is>
      </c>
      <c r="H191" s="2" t="inlineStr">
        <is>
          <t>S</t>
        </is>
      </c>
      <c r="I191" s="2">
        <f>IF(H191="S",0.5,IF(H191="M",1,IF(H191="L",2,0)))</f>
        <v/>
      </c>
      <c r="J191" s="2" t="inlineStr">
        <is>
          <t>A</t>
        </is>
      </c>
      <c r="K191" s="2" t="inlineStr">
        <is>
          <t>contracts</t>
        </is>
      </c>
      <c r="L191" s="2" t="inlineStr">
        <is>
          <t>Assigned</t>
        </is>
      </c>
      <c r="M191" s="2" t="inlineStr">
        <is>
          <t>longhuynh55</t>
        </is>
      </c>
      <c r="N191" s="2" t="inlineStr">
        <is>
          <t>OPEN</t>
        </is>
      </c>
      <c r="O191" s="2" t="inlineStr">
        <is>
          <t>SC-013</t>
        </is>
      </c>
      <c r="P191" s="2">
        <f>IF(O191="",0,SUMPRODUCT(--ISNUMBER(SEARCH(", "&amp;$A$2:$A$245&amp;",",", "&amp;O191&amp;",")),--($L$2:$L$245&lt;&gt;"Done")))</f>
        <v/>
      </c>
      <c r="Q191" s="3" t="inlineStr">
        <is>
          <t>open</t>
        </is>
      </c>
    </row>
    <row r="192">
      <c r="A192" s="2" t="inlineStr">
        <is>
          <t>SC-016</t>
        </is>
      </c>
      <c r="B192" s="2" t="n">
        <v>31</v>
      </c>
      <c r="C192" s="2" t="inlineStr">
        <is>
          <t>[CONTRACTS] Write deployment scripts and the deployments manifest</t>
        </is>
      </c>
      <c r="D192" s="2" t="inlineStr">
        <is>
          <t>contracts</t>
        </is>
      </c>
      <c r="E192" s="2" t="inlineStr">
        <is>
          <t>[EPIC] M04 · Smart Contracts</t>
        </is>
      </c>
      <c r="F192" s="2" t="inlineStr">
        <is>
          <t>P0</t>
        </is>
      </c>
      <c r="G192" s="2" t="inlineStr">
        <is>
          <t>M1</t>
        </is>
      </c>
      <c r="H192" s="2" t="inlineStr">
        <is>
          <t>M</t>
        </is>
      </c>
      <c r="I192" s="2">
        <f>IF(H192="S",0.5,IF(H192="M",1,IF(H192="L",2,0)))</f>
        <v/>
      </c>
      <c r="J192" s="2" t="inlineStr">
        <is>
          <t>A</t>
        </is>
      </c>
      <c r="K192" s="2" t="inlineStr">
        <is>
          <t>contracts</t>
        </is>
      </c>
      <c r="L192" s="2" t="inlineStr">
        <is>
          <t>Assigned</t>
        </is>
      </c>
      <c r="M192" s="2" t="inlineStr">
        <is>
          <t>longhuynh55</t>
        </is>
      </c>
      <c r="N192" s="2" t="inlineStr">
        <is>
          <t>OPEN</t>
        </is>
      </c>
      <c r="O192" s="2" t="inlineStr">
        <is>
          <t>SC-010, SC-021, DOM-001</t>
        </is>
      </c>
      <c r="P192" s="2">
        <f>IF(O192="",0,SUMPRODUCT(--ISNUMBER(SEARCH(", "&amp;$A$2:$A$245&amp;",",", "&amp;O192&amp;",")),--($L$2:$L$245&lt;&gt;"Done")))</f>
        <v/>
      </c>
      <c r="Q192" s="3" t="inlineStr">
        <is>
          <t>open</t>
        </is>
      </c>
    </row>
    <row r="193">
      <c r="A193" s="2" t="inlineStr">
        <is>
          <t>SC-017</t>
        </is>
      </c>
      <c r="B193" s="2" t="n">
        <v>56</v>
      </c>
      <c r="C193" s="2" t="inlineStr">
        <is>
          <t>[CONTRACTS] Publish EIP-712 golden vectors</t>
        </is>
      </c>
      <c r="D193" s="2" t="inlineStr">
        <is>
          <t>contracts</t>
        </is>
      </c>
      <c r="E193" s="2" t="inlineStr">
        <is>
          <t>[EPIC] M04 · Smart Contracts</t>
        </is>
      </c>
      <c r="F193" s="2" t="inlineStr">
        <is>
          <t>P0</t>
        </is>
      </c>
      <c r="G193" s="2" t="inlineStr">
        <is>
          <t>M1</t>
        </is>
      </c>
      <c r="H193" s="2" t="inlineStr">
        <is>
          <t>S</t>
        </is>
      </c>
      <c r="I193" s="2">
        <f>IF(H193="S",0.5,IF(H193="M",1,IF(H193="L",2,0)))</f>
        <v/>
      </c>
      <c r="J193" s="2" t="inlineStr">
        <is>
          <t>A</t>
        </is>
      </c>
      <c r="K193" s="2" t="inlineStr">
        <is>
          <t>contracts</t>
        </is>
      </c>
      <c r="L193" s="2" t="inlineStr">
        <is>
          <t>Assigned</t>
        </is>
      </c>
      <c r="M193" s="2" t="inlineStr">
        <is>
          <t>longhuynh55</t>
        </is>
      </c>
      <c r="N193" s="2" t="inlineStr">
        <is>
          <t>OPEN</t>
        </is>
      </c>
      <c r="O193" s="2" t="inlineStr">
        <is>
          <t>SC-005</t>
        </is>
      </c>
      <c r="P193" s="2">
        <f>IF(O193="",0,SUMPRODUCT(--ISNUMBER(SEARCH(", "&amp;$A$2:$A$245&amp;",",", "&amp;O193&amp;",")),--($L$2:$L$245&lt;&gt;"Done")))</f>
        <v/>
      </c>
      <c r="Q193" s="3" t="inlineStr">
        <is>
          <t>open</t>
        </is>
      </c>
    </row>
    <row r="194">
      <c r="A194" s="2" t="inlineStr">
        <is>
          <t>SC-018</t>
        </is>
      </c>
      <c r="B194" s="2" t="n">
        <v>83</v>
      </c>
      <c r="C194" s="2" t="inlineStr">
        <is>
          <t>[CONTRACTS] Add the test router and swapForGas</t>
        </is>
      </c>
      <c r="D194" s="2" t="inlineStr">
        <is>
          <t>contracts</t>
        </is>
      </c>
      <c r="E194" s="2" t="inlineStr">
        <is>
          <t>[EPIC] M04 · Smart Contracts</t>
        </is>
      </c>
      <c r="F194" s="2" t="inlineStr">
        <is>
          <t>P2</t>
        </is>
      </c>
      <c r="G194" s="2" t="inlineStr">
        <is>
          <t>M1</t>
        </is>
      </c>
      <c r="H194" s="2" t="inlineStr">
        <is>
          <t>M</t>
        </is>
      </c>
      <c r="I194" s="2">
        <f>IF(H194="S",0.5,IF(H194="M",1,IF(H194="L",2,0)))</f>
        <v/>
      </c>
      <c r="J194" s="2" t="inlineStr">
        <is>
          <t>After submission</t>
        </is>
      </c>
      <c r="K194" s="2" t="inlineStr">
        <is>
          <t>contracts</t>
        </is>
      </c>
      <c r="L194" s="2" t="inlineStr">
        <is>
          <t>Assigned</t>
        </is>
      </c>
      <c r="M194" s="2" t="inlineStr">
        <is>
          <t>longhuynh55</t>
        </is>
      </c>
      <c r="N194" s="2" t="inlineStr">
        <is>
          <t>OPEN</t>
        </is>
      </c>
      <c r="O194" s="2" t="inlineStr">
        <is>
          <t>SC-009</t>
        </is>
      </c>
      <c r="P194" s="2">
        <f>IF(O194="",0,SUMPRODUCT(--ISNUMBER(SEARCH(", "&amp;$A$2:$A$245&amp;",",", "&amp;O194&amp;",")),--($L$2:$L$245&lt;&gt;"Done")))</f>
        <v/>
      </c>
      <c r="Q194" s="3" t="inlineStr">
        <is>
          <t>open</t>
        </is>
      </c>
    </row>
    <row r="195">
      <c r="A195" s="2" t="inlineStr">
        <is>
          <t>SC-019</t>
        </is>
      </c>
      <c r="B195" s="2" t="n">
        <v>84</v>
      </c>
      <c r="C195" s="2" t="inlineStr">
        <is>
          <t>[CONTRACTS] Register the attestation schema and add an attest helper</t>
        </is>
      </c>
      <c r="D195" s="2" t="inlineStr">
        <is>
          <t>contracts</t>
        </is>
      </c>
      <c r="E195" s="2" t="inlineStr">
        <is>
          <t>[EPIC] M04 · Smart Contracts</t>
        </is>
      </c>
      <c r="F195" s="2" t="inlineStr">
        <is>
          <t>P1</t>
        </is>
      </c>
      <c r="G195" s="2" t="inlineStr">
        <is>
          <t>M1</t>
        </is>
      </c>
      <c r="H195" s="2" t="inlineStr">
        <is>
          <t>S</t>
        </is>
      </c>
      <c r="I195" s="2">
        <f>IF(H195="S",0.5,IF(H195="M",1,IF(H195="L",2,0)))</f>
        <v/>
      </c>
      <c r="J195" s="2" t="inlineStr">
        <is>
          <t>A</t>
        </is>
      </c>
      <c r="K195" s="2" t="inlineStr">
        <is>
          <t>contracts</t>
        </is>
      </c>
      <c r="L195" s="2" t="inlineStr">
        <is>
          <t>Assigned</t>
        </is>
      </c>
      <c r="M195" s="2" t="inlineStr">
        <is>
          <t>longhuynh55</t>
        </is>
      </c>
      <c r="N195" s="2" t="inlineStr">
        <is>
          <t>OPEN</t>
        </is>
      </c>
      <c r="O195" s="2" t="inlineStr">
        <is>
          <t>DOM-001</t>
        </is>
      </c>
      <c r="P195" s="2">
        <f>IF(O195="",0,SUMPRODUCT(--ISNUMBER(SEARCH(", "&amp;$A$2:$A$245&amp;",",", "&amp;O195&amp;",")),--($L$2:$L$245&lt;&gt;"Done")))</f>
        <v/>
      </c>
      <c r="Q195" s="3" t="inlineStr">
        <is>
          <t>open</t>
        </is>
      </c>
    </row>
    <row r="196">
      <c r="A196" s="2" t="inlineStr">
        <is>
          <t>SC-020</t>
        </is>
      </c>
      <c r="B196" s="2" t="n">
        <v>85</v>
      </c>
      <c r="C196" s="2" t="inlineStr">
        <is>
          <t>[CONTRACTS] Write direct-call bypass tests</t>
        </is>
      </c>
      <c r="D196" s="2" t="inlineStr">
        <is>
          <t>contracts</t>
        </is>
      </c>
      <c r="E196" s="2" t="inlineStr">
        <is>
          <t>[EPIC] M04 · Smart Contracts</t>
        </is>
      </c>
      <c r="F196" s="2" t="inlineStr">
        <is>
          <t>P0</t>
        </is>
      </c>
      <c r="G196" s="2" t="inlineStr">
        <is>
          <t>M1</t>
        </is>
      </c>
      <c r="H196" s="2" t="inlineStr">
        <is>
          <t>S</t>
        </is>
      </c>
      <c r="I196" s="2">
        <f>IF(H196="S",0.5,IF(H196="M",1,IF(H196="L",2,0)))</f>
        <v/>
      </c>
      <c r="J196" s="2" t="inlineStr">
        <is>
          <t>A</t>
        </is>
      </c>
      <c r="K196" s="2" t="inlineStr">
        <is>
          <t>contracts</t>
        </is>
      </c>
      <c r="L196" s="2" t="inlineStr">
        <is>
          <t>Assigned</t>
        </is>
      </c>
      <c r="M196" s="2" t="inlineStr">
        <is>
          <t>longhuynh55</t>
        </is>
      </c>
      <c r="N196" s="2" t="inlineStr">
        <is>
          <t>OPEN</t>
        </is>
      </c>
      <c r="O196" s="2" t="inlineStr">
        <is>
          <t>SC-013</t>
        </is>
      </c>
      <c r="P196" s="2">
        <f>IF(O196="",0,SUMPRODUCT(--ISNUMBER(SEARCH(", "&amp;$A$2:$A$245&amp;",",", "&amp;O196&amp;",")),--($L$2:$L$245&lt;&gt;"Done")))</f>
        <v/>
      </c>
      <c r="Q196" s="3" t="inlineStr">
        <is>
          <t>open</t>
        </is>
      </c>
    </row>
    <row r="197">
      <c r="A197" s="2" t="inlineStr">
        <is>
          <t>SC-021</t>
        </is>
      </c>
      <c r="B197" s="2" t="n">
        <v>242</v>
      </c>
      <c r="C197" s="2" t="inlineStr">
        <is>
          <t>[CONTRACTS] Implement the module factory with EIP-1167 clones</t>
        </is>
      </c>
      <c r="D197" s="2" t="inlineStr">
        <is>
          <t>contracts</t>
        </is>
      </c>
      <c r="E197" s="2" t="inlineStr">
        <is>
          <t>[EPIC] M04 · Smart Contracts</t>
        </is>
      </c>
      <c r="F197" s="2" t="inlineStr">
        <is>
          <t>P0</t>
        </is>
      </c>
      <c r="G197" s="2" t="inlineStr">
        <is>
          <t>M1</t>
        </is>
      </c>
      <c r="H197" s="2" t="inlineStr">
        <is>
          <t>M</t>
        </is>
      </c>
      <c r="I197" s="2">
        <f>IF(H197="S",0.5,IF(H197="M",1,IF(H197="L",2,0)))</f>
        <v/>
      </c>
      <c r="J197" s="2" t="inlineStr">
        <is>
          <t>A</t>
        </is>
      </c>
      <c r="K197" s="2" t="inlineStr">
        <is>
          <t>contracts</t>
        </is>
      </c>
      <c r="L197" s="2" t="inlineStr">
        <is>
          <t>Assigned</t>
        </is>
      </c>
      <c r="M197" s="2" t="inlineStr">
        <is>
          <t>longhuynh55</t>
        </is>
      </c>
      <c r="N197" s="2" t="inlineStr">
        <is>
          <t>OPEN</t>
        </is>
      </c>
      <c r="O197" s="2" t="inlineStr">
        <is>
          <t>SC-002</t>
        </is>
      </c>
      <c r="P197" s="2">
        <f>IF(O197="",0,SUMPRODUCT(--ISNUMBER(SEARCH(", "&amp;$A$2:$A$245&amp;",",", "&amp;O197&amp;",")),--($L$2:$L$245&lt;&gt;"Done")))</f>
        <v/>
      </c>
      <c r="Q197" s="3" t="inlineStr">
        <is>
          <t>open</t>
        </is>
      </c>
    </row>
    <row r="198">
      <c r="A198" s="2" t="inlineStr">
        <is>
          <t>SC-022</t>
        </is>
      </c>
      <c r="B198" s="2" t="n">
        <v>245</v>
      </c>
      <c r="C198" s="2" t="inlineStr">
        <is>
          <t>[CONTRACTS] Add on-chain request cancellation</t>
        </is>
      </c>
      <c r="D198" s="2" t="inlineStr">
        <is>
          <t>contracts</t>
        </is>
      </c>
      <c r="E198" s="2" t="inlineStr">
        <is>
          <t>[EPIC] M04 · Smart Contracts</t>
        </is>
      </c>
      <c r="F198" s="2" t="inlineStr">
        <is>
          <t>P0</t>
        </is>
      </c>
      <c r="G198" s="2" t="inlineStr">
        <is>
          <t>M1</t>
        </is>
      </c>
      <c r="H198" s="2" t="inlineStr">
        <is>
          <t>S</t>
        </is>
      </c>
      <c r="I198" s="2">
        <f>IF(H198="S",0.5,IF(H198="M",1,IF(H198="L",2,0)))</f>
        <v/>
      </c>
      <c r="J198" s="2" t="inlineStr">
        <is>
          <t>A</t>
        </is>
      </c>
      <c r="K198" s="2" t="inlineStr">
        <is>
          <t>contracts</t>
        </is>
      </c>
      <c r="L198" s="2" t="inlineStr">
        <is>
          <t>Assigned</t>
        </is>
      </c>
      <c r="M198" s="2" t="inlineStr">
        <is>
          <t>longhuynh55</t>
        </is>
      </c>
      <c r="N198" s="2" t="inlineStr">
        <is>
          <t>OPEN</t>
        </is>
      </c>
      <c r="O198" s="2" t="inlineStr">
        <is>
          <t>SC-006, SC-009</t>
        </is>
      </c>
      <c r="P198" s="2">
        <f>IF(O198="",0,SUMPRODUCT(--ISNUMBER(SEARCH(", "&amp;$A$2:$A$245&amp;",",", "&amp;O198&amp;",")),--($L$2:$L$245&lt;&gt;"Done")))</f>
        <v/>
      </c>
      <c r="Q198" s="3" t="inlineStr">
        <is>
          <t>open</t>
        </is>
      </c>
    </row>
    <row r="199">
      <c r="A199" s="2" t="inlineStr">
        <is>
          <t>SC-023</t>
        </is>
      </c>
      <c r="B199" s="2" t="n">
        <v>255</v>
      </c>
      <c r="C199" s="2" t="inlineStr">
        <is>
          <t>[CONTRACTS] Add two-option payment approvals (early / standard)</t>
        </is>
      </c>
      <c r="D199" s="2" t="inlineStr">
        <is>
          <t>contracts</t>
        </is>
      </c>
      <c r="E199" s="2" t="inlineStr">
        <is>
          <t>[EPIC] M04 · Smart Contracts</t>
        </is>
      </c>
      <c r="F199" s="2" t="inlineStr">
        <is>
          <t>P0</t>
        </is>
      </c>
      <c r="G199" s="2" t="inlineStr">
        <is>
          <t>M1</t>
        </is>
      </c>
      <c r="H199" s="2" t="inlineStr">
        <is>
          <t>S</t>
        </is>
      </c>
      <c r="I199" s="2">
        <f>IF(H199="S",0.5,IF(H199="M",1,IF(H199="L",2,0)))</f>
        <v/>
      </c>
      <c r="J199" s="2" t="inlineStr">
        <is>
          <t>A</t>
        </is>
      </c>
      <c r="K199" s="2" t="inlineStr">
        <is>
          <t>contracts</t>
        </is>
      </c>
      <c r="L199" s="2" t="inlineStr">
        <is>
          <t>Assigned</t>
        </is>
      </c>
      <c r="M199" s="2" t="inlineStr">
        <is>
          <t>longhuynh55</t>
        </is>
      </c>
      <c r="N199" s="2" t="inlineStr">
        <is>
          <t>OPEN</t>
        </is>
      </c>
      <c r="O199" s="2" t="inlineStr">
        <is>
          <t>SC-006, SC-005</t>
        </is>
      </c>
      <c r="P199" s="2">
        <f>IF(O199="",0,SUMPRODUCT(--ISNUMBER(SEARCH(", "&amp;$A$2:$A$245&amp;",",", "&amp;O199&amp;",")),--($L$2:$L$245&lt;&gt;"Done")))</f>
        <v/>
      </c>
      <c r="Q199" s="3" t="inlineStr">
        <is>
          <t>open</t>
        </is>
      </c>
    </row>
    <row r="200">
      <c r="A200" s="2" t="inlineStr">
        <is>
          <t>SC-024</t>
        </is>
      </c>
      <c r="B200" s="2" t="n">
        <v>256</v>
      </c>
      <c r="C200" s="2" t="inlineStr">
        <is>
          <t>[CONTRACTS] Implement Aave V3 supply and withdraw through Safe T</t>
        </is>
      </c>
      <c r="D200" s="2" t="inlineStr">
        <is>
          <t>contracts</t>
        </is>
      </c>
      <c r="E200" s="2" t="inlineStr">
        <is>
          <t>[EPIC] M04 · Smart Contracts</t>
        </is>
      </c>
      <c r="F200" s="2" t="inlineStr">
        <is>
          <t>P0</t>
        </is>
      </c>
      <c r="G200" s="2" t="inlineStr">
        <is>
          <t>M1</t>
        </is>
      </c>
      <c r="H200" s="2" t="inlineStr">
        <is>
          <t>M</t>
        </is>
      </c>
      <c r="I200" s="2">
        <f>IF(H200="S",0.5,IF(H200="M",1,IF(H200="L",2,0)))</f>
        <v/>
      </c>
      <c r="J200" s="2" t="inlineStr">
        <is>
          <t>A</t>
        </is>
      </c>
      <c r="K200" s="2" t="inlineStr">
        <is>
          <t>contracts</t>
        </is>
      </c>
      <c r="L200" s="2" t="inlineStr">
        <is>
          <t>Assigned</t>
        </is>
      </c>
      <c r="M200" s="2" t="inlineStr">
        <is>
          <t>longhuynh55</t>
        </is>
      </c>
      <c r="N200" s="2" t="inlineStr">
        <is>
          <t>OPEN</t>
        </is>
      </c>
      <c r="O200" s="2" t="inlineStr">
        <is>
          <t>SC-021, SC-007, SC-008</t>
        </is>
      </c>
      <c r="P200" s="2">
        <f>IF(O200="",0,SUMPRODUCT(--ISNUMBER(SEARCH(", "&amp;$A$2:$A$245&amp;",",", "&amp;O200&amp;",")),--($L$2:$L$245&lt;&gt;"Done")))</f>
        <v/>
      </c>
      <c r="Q200" s="3" t="inlineStr">
        <is>
          <t>open</t>
        </is>
      </c>
    </row>
    <row r="201">
      <c r="A201" s="2" t="inlineStr">
        <is>
          <t>SC-025</t>
        </is>
      </c>
      <c r="B201" s="2" t="n">
        <v>257</v>
      </c>
      <c r="C201" s="2" t="inlineStr">
        <is>
          <t>[CONTRACTS] Add Aave integration tests on a pinned Sepolia fork</t>
        </is>
      </c>
      <c r="D201" s="2" t="inlineStr">
        <is>
          <t>contracts</t>
        </is>
      </c>
      <c r="E201" s="2" t="inlineStr">
        <is>
          <t>[EPIC] M04 · Smart Contracts</t>
        </is>
      </c>
      <c r="F201" s="2" t="inlineStr">
        <is>
          <t>P0</t>
        </is>
      </c>
      <c r="G201" s="2" t="inlineStr">
        <is>
          <t>M1</t>
        </is>
      </c>
      <c r="H201" s="2" t="inlineStr">
        <is>
          <t>S</t>
        </is>
      </c>
      <c r="I201" s="2">
        <f>IF(H201="S",0.5,IF(H201="M",1,IF(H201="L",2,0)))</f>
        <v/>
      </c>
      <c r="J201" s="2" t="inlineStr">
        <is>
          <t>A</t>
        </is>
      </c>
      <c r="K201" s="2" t="inlineStr">
        <is>
          <t>contracts</t>
        </is>
      </c>
      <c r="L201" s="2" t="inlineStr">
        <is>
          <t>Assigned</t>
        </is>
      </c>
      <c r="M201" s="2" t="inlineStr">
        <is>
          <t>longhuynh55</t>
        </is>
      </c>
      <c r="N201" s="2" t="inlineStr">
        <is>
          <t>OPEN</t>
        </is>
      </c>
      <c r="O201" s="2" t="inlineStr">
        <is>
          <t>SC-024, SC-016</t>
        </is>
      </c>
      <c r="P201" s="2">
        <f>IF(O201="",0,SUMPRODUCT(--ISNUMBER(SEARCH(", "&amp;$A$2:$A$245&amp;",",", "&amp;O201&amp;",")),--($L$2:$L$245&lt;&gt;"Done")))</f>
        <v/>
      </c>
      <c r="Q201" s="3" t="inlineStr">
        <is>
          <t>open</t>
        </is>
      </c>
    </row>
    <row r="202">
      <c r="A202" s="2" t="inlineStr">
        <is>
          <t>SC-026</t>
        </is>
      </c>
      <c r="B202" s="2" t="n">
        <v>258</v>
      </c>
      <c r="C202" s="2" t="inlineStr">
        <is>
          <t>[CONTRACTS] Implement owner-authorized borrow and repay</t>
        </is>
      </c>
      <c r="D202" s="2" t="inlineStr">
        <is>
          <t>contracts</t>
        </is>
      </c>
      <c r="E202" s="2" t="inlineStr">
        <is>
          <t>[EPIC] M04 · Smart Contracts</t>
        </is>
      </c>
      <c r="F202" s="2" t="inlineStr">
        <is>
          <t>P2</t>
        </is>
      </c>
      <c r="G202" s="2" t="inlineStr">
        <is>
          <t>M1</t>
        </is>
      </c>
      <c r="H202" s="2" t="inlineStr">
        <is>
          <t>M</t>
        </is>
      </c>
      <c r="I202" s="2">
        <f>IF(H202="S",0.5,IF(H202="M",1,IF(H202="L",2,0)))</f>
        <v/>
      </c>
      <c r="J202" s="2" t="inlineStr">
        <is>
          <t>After submission</t>
        </is>
      </c>
      <c r="K202" s="2" t="inlineStr">
        <is>
          <t>contracts</t>
        </is>
      </c>
      <c r="L202" s="2" t="inlineStr">
        <is>
          <t>Assigned</t>
        </is>
      </c>
      <c r="M202" s="2" t="inlineStr">
        <is>
          <t>longhuynh55</t>
        </is>
      </c>
      <c r="N202" s="2" t="inlineStr">
        <is>
          <t>OPEN</t>
        </is>
      </c>
      <c r="O202" s="2" t="inlineStr">
        <is>
          <t>SC-024</t>
        </is>
      </c>
      <c r="P202" s="2">
        <f>IF(O202="",0,SUMPRODUCT(--ISNUMBER(SEARCH(", "&amp;$A$2:$A$245&amp;",",", "&amp;O202&amp;",")),--($L$2:$L$245&lt;&gt;"Done")))</f>
        <v/>
      </c>
      <c r="Q202" s="3" t="inlineStr">
        <is>
          <t>open</t>
        </is>
      </c>
    </row>
    <row r="203">
      <c r="A203" s="2" t="inlineStr">
        <is>
          <t>SC-L01</t>
        </is>
      </c>
      <c r="B203" s="2" t="n">
        <v>86</v>
      </c>
      <c r="C203" s="2" t="inlineStr">
        <is>
          <t>[CONTRACTS] Enforce reserves and execution holds on-chain</t>
        </is>
      </c>
      <c r="D203" s="2" t="inlineStr">
        <is>
          <t>contracts</t>
        </is>
      </c>
      <c r="E203" s="2" t="inlineStr">
        <is>
          <t>[EPIC] M04 · Smart Contracts</t>
        </is>
      </c>
      <c r="F203" s="2" t="inlineStr">
        <is>
          <t>—</t>
        </is>
      </c>
      <c r="G203" s="2" t="inlineStr">
        <is>
          <t>Later</t>
        </is>
      </c>
      <c r="H203" s="2" t="inlineStr">
        <is>
          <t>L</t>
        </is>
      </c>
      <c r="I203" s="2">
        <f>IF(H203="S",0.5,IF(H203="M",1,IF(H203="L",2,0)))</f>
        <v/>
      </c>
      <c r="J203" s="2" t="inlineStr">
        <is>
          <t>Later</t>
        </is>
      </c>
      <c r="K203" s="2" t="inlineStr">
        <is>
          <t>contracts</t>
        </is>
      </c>
      <c r="L203" s="2" t="inlineStr">
        <is>
          <t>Accepted</t>
        </is>
      </c>
      <c r="M203" s="2" t="inlineStr"/>
      <c r="N203" s="2" t="inlineStr">
        <is>
          <t>OPEN</t>
        </is>
      </c>
      <c r="O203" s="2" t="inlineStr">
        <is>
          <t>SC-014</t>
        </is>
      </c>
      <c r="P203" s="2">
        <f>IF(O203="",0,SUMPRODUCT(--ISNUMBER(SEARCH(", "&amp;$A$2:$A$245&amp;",",", "&amp;O203&amp;",")),--($L$2:$L$245&lt;&gt;"Done")))</f>
        <v/>
      </c>
      <c r="Q203" s="3" t="inlineStr">
        <is>
          <t>open</t>
        </is>
      </c>
    </row>
    <row r="204">
      <c r="A204" s="2" t="inlineStr">
        <is>
          <t>SC-L02</t>
        </is>
      </c>
      <c r="B204" s="2" t="n">
        <v>87</v>
      </c>
      <c r="C204" s="2" t="inlineStr">
        <is>
          <t>[CONTRACTS] Enforce n-of-m approval thresholds by amount band</t>
        </is>
      </c>
      <c r="D204" s="2" t="inlineStr">
        <is>
          <t>contracts</t>
        </is>
      </c>
      <c r="E204" s="2" t="inlineStr">
        <is>
          <t>[EPIC] M04 · Smart Contracts</t>
        </is>
      </c>
      <c r="F204" s="2" t="inlineStr">
        <is>
          <t>—</t>
        </is>
      </c>
      <c r="G204" s="2" t="inlineStr">
        <is>
          <t>Later</t>
        </is>
      </c>
      <c r="H204" s="2" t="inlineStr">
        <is>
          <t>L</t>
        </is>
      </c>
      <c r="I204" s="2">
        <f>IF(H204="S",0.5,IF(H204="M",1,IF(H204="L",2,0)))</f>
        <v/>
      </c>
      <c r="J204" s="2" t="inlineStr">
        <is>
          <t>Later</t>
        </is>
      </c>
      <c r="K204" s="2" t="inlineStr">
        <is>
          <t>contracts</t>
        </is>
      </c>
      <c r="L204" s="2" t="inlineStr">
        <is>
          <t>Accepted</t>
        </is>
      </c>
      <c r="M204" s="2" t="inlineStr"/>
      <c r="N204" s="2" t="inlineStr">
        <is>
          <t>OPEN</t>
        </is>
      </c>
      <c r="O204" s="2" t="inlineStr">
        <is>
          <t>SC-005</t>
        </is>
      </c>
      <c r="P204" s="2">
        <f>IF(O204="",0,SUMPRODUCT(--ISNUMBER(SEARCH(", "&amp;$A$2:$A$245&amp;",",", "&amp;O204&amp;",")),--($L$2:$L$245&lt;&gt;"Done")))</f>
        <v/>
      </c>
      <c r="Q204" s="3" t="inlineStr">
        <is>
          <t>open</t>
        </is>
      </c>
    </row>
    <row r="205">
      <c r="A205" s="2" t="inlineStr">
        <is>
          <t>SC-L03</t>
        </is>
      </c>
      <c r="B205" s="2" t="n">
        <v>88</v>
      </c>
      <c r="C205" s="2" t="inlineStr">
        <is>
          <t>[CONTRACTS] Add a production swap adapter with signed quotes</t>
        </is>
      </c>
      <c r="D205" s="2" t="inlineStr">
        <is>
          <t>contracts</t>
        </is>
      </c>
      <c r="E205" s="2" t="inlineStr">
        <is>
          <t>[EPIC] M04 · Smart Contracts</t>
        </is>
      </c>
      <c r="F205" s="2" t="inlineStr">
        <is>
          <t>—</t>
        </is>
      </c>
      <c r="G205" s="2" t="inlineStr">
        <is>
          <t>Later</t>
        </is>
      </c>
      <c r="H205" s="2" t="inlineStr">
        <is>
          <t>L</t>
        </is>
      </c>
      <c r="I205" s="2">
        <f>IF(H205="S",0.5,IF(H205="M",1,IF(H205="L",2,0)))</f>
        <v/>
      </c>
      <c r="J205" s="2" t="inlineStr">
        <is>
          <t>Later</t>
        </is>
      </c>
      <c r="K205" s="2" t="inlineStr">
        <is>
          <t>contracts</t>
        </is>
      </c>
      <c r="L205" s="2" t="inlineStr">
        <is>
          <t>Accepted</t>
        </is>
      </c>
      <c r="M205" s="2" t="inlineStr"/>
      <c r="N205" s="2" t="inlineStr">
        <is>
          <t>OPEN</t>
        </is>
      </c>
      <c r="O205" s="2" t="inlineStr">
        <is>
          <t>SC-018</t>
        </is>
      </c>
      <c r="P205" s="2">
        <f>IF(O205="",0,SUMPRODUCT(--ISNUMBER(SEARCH(", "&amp;$A$2:$A$245&amp;",",", "&amp;O205&amp;",")),--($L$2:$L$245&lt;&gt;"Done")))</f>
        <v/>
      </c>
      <c r="Q205" s="3" t="inlineStr">
        <is>
          <t>open</t>
        </is>
      </c>
    </row>
    <row r="206">
      <c r="A206" s="2" t="inlineStr">
        <is>
          <t>SC-L04</t>
        </is>
      </c>
      <c r="B206" s="2" t="n">
        <v>89</v>
      </c>
      <c r="C206" s="2" t="inlineStr">
        <is>
          <t>[CONTRACTS] Verify plan attestations on-chain</t>
        </is>
      </c>
      <c r="D206" s="2" t="inlineStr">
        <is>
          <t>contracts</t>
        </is>
      </c>
      <c r="E206" s="2" t="inlineStr">
        <is>
          <t>[EPIC] M04 · Smart Contracts</t>
        </is>
      </c>
      <c r="F206" s="2" t="inlineStr">
        <is>
          <t>—</t>
        </is>
      </c>
      <c r="G206" s="2" t="inlineStr">
        <is>
          <t>Later</t>
        </is>
      </c>
      <c r="H206" s="2" t="inlineStr">
        <is>
          <t>M</t>
        </is>
      </c>
      <c r="I206" s="2">
        <f>IF(H206="S",0.5,IF(H206="M",1,IF(H206="L",2,0)))</f>
        <v/>
      </c>
      <c r="J206" s="2" t="inlineStr">
        <is>
          <t>Later</t>
        </is>
      </c>
      <c r="K206" s="2" t="inlineStr">
        <is>
          <t>contracts</t>
        </is>
      </c>
      <c r="L206" s="2" t="inlineStr">
        <is>
          <t>Accepted</t>
        </is>
      </c>
      <c r="M206" s="2" t="inlineStr"/>
      <c r="N206" s="2" t="inlineStr">
        <is>
          <t>OPEN</t>
        </is>
      </c>
      <c r="O206" s="2" t="inlineStr">
        <is>
          <t>SC-017</t>
        </is>
      </c>
      <c r="P206" s="2">
        <f>IF(O206="",0,SUMPRODUCT(--ISNUMBER(SEARCH(", "&amp;$A$2:$A$245&amp;",",", "&amp;O206&amp;",")),--($L$2:$L$245&lt;&gt;"Done")))</f>
        <v/>
      </c>
      <c r="Q206" s="3" t="inlineStr">
        <is>
          <t>open</t>
        </is>
      </c>
    </row>
    <row r="207">
      <c r="A207" s="2" t="inlineStr">
        <is>
          <t>SC-L05</t>
        </is>
      </c>
      <c r="B207" s="2" t="n">
        <v>90</v>
      </c>
      <c r="C207" s="2" t="inlineStr">
        <is>
          <t>[CONTRACTS] Support multiple stablecoins with per-asset limits</t>
        </is>
      </c>
      <c r="D207" s="2" t="inlineStr">
        <is>
          <t>contracts</t>
        </is>
      </c>
      <c r="E207" s="2" t="inlineStr">
        <is>
          <t>[EPIC] M04 · Smart Contracts</t>
        </is>
      </c>
      <c r="F207" s="2" t="inlineStr">
        <is>
          <t>—</t>
        </is>
      </c>
      <c r="G207" s="2" t="inlineStr">
        <is>
          <t>Later</t>
        </is>
      </c>
      <c r="H207" s="2" t="inlineStr">
        <is>
          <t>M</t>
        </is>
      </c>
      <c r="I207" s="2">
        <f>IF(H207="S",0.5,IF(H207="M",1,IF(H207="L",2,0)))</f>
        <v/>
      </c>
      <c r="J207" s="2" t="inlineStr">
        <is>
          <t>Later</t>
        </is>
      </c>
      <c r="K207" s="2" t="inlineStr">
        <is>
          <t>contracts</t>
        </is>
      </c>
      <c r="L207" s="2" t="inlineStr">
        <is>
          <t>Accepted</t>
        </is>
      </c>
      <c r="M207" s="2" t="inlineStr"/>
      <c r="N207" s="2" t="inlineStr">
        <is>
          <t>OPEN</t>
        </is>
      </c>
      <c r="O207" s="2" t="inlineStr">
        <is>
          <t>SC-007</t>
        </is>
      </c>
      <c r="P207" s="2">
        <f>IF(O207="",0,SUMPRODUCT(--ISNUMBER(SEARCH(", "&amp;$A$2:$A$245&amp;",",", "&amp;O207&amp;",")),--($L$2:$L$245&lt;&gt;"Done")))</f>
        <v/>
      </c>
      <c r="Q207" s="3" t="inlineStr">
        <is>
          <t>open</t>
        </is>
      </c>
    </row>
    <row r="208">
      <c r="A208" s="2" t="inlineStr">
        <is>
          <t>SC-L06</t>
        </is>
      </c>
      <c r="B208" s="2" t="n">
        <v>91</v>
      </c>
      <c r="C208" s="2" t="inlineStr">
        <is>
          <t>[CONTRACTS] Allow refill paths between operational wallets</t>
        </is>
      </c>
      <c r="D208" s="2" t="inlineStr">
        <is>
          <t>contracts</t>
        </is>
      </c>
      <c r="E208" s="2" t="inlineStr">
        <is>
          <t>[EPIC] M04 · Smart Contracts</t>
        </is>
      </c>
      <c r="F208" s="2" t="inlineStr">
        <is>
          <t>—</t>
        </is>
      </c>
      <c r="G208" s="2" t="inlineStr">
        <is>
          <t>Later</t>
        </is>
      </c>
      <c r="H208" s="2" t="inlineStr">
        <is>
          <t>M</t>
        </is>
      </c>
      <c r="I208" s="2">
        <f>IF(H208="S",0.5,IF(H208="M",1,IF(H208="L",2,0)))</f>
        <v/>
      </c>
      <c r="J208" s="2" t="inlineStr">
        <is>
          <t>Later</t>
        </is>
      </c>
      <c r="K208" s="2" t="inlineStr">
        <is>
          <t>contracts</t>
        </is>
      </c>
      <c r="L208" s="2" t="inlineStr">
        <is>
          <t>Accepted</t>
        </is>
      </c>
      <c r="M208" s="2" t="inlineStr"/>
      <c r="N208" s="2" t="inlineStr">
        <is>
          <t>OPEN</t>
        </is>
      </c>
      <c r="O208" s="2" t="inlineStr">
        <is>
          <t>SC-009</t>
        </is>
      </c>
      <c r="P208" s="2">
        <f>IF(O208="",0,SUMPRODUCT(--ISNUMBER(SEARCH(", "&amp;$A$2:$A$245&amp;",",", "&amp;O208&amp;",")),--($L$2:$L$245&lt;&gt;"Done")))</f>
        <v/>
      </c>
      <c r="Q208" s="3" t="inlineStr">
        <is>
          <t>open</t>
        </is>
      </c>
    </row>
    <row r="209">
      <c r="A209" s="2" t="inlineStr">
        <is>
          <t>TRS-001</t>
        </is>
      </c>
      <c r="B209" s="2" t="n">
        <v>33</v>
      </c>
      <c r="C209" s="2" t="inlineStr">
        <is>
          <t>[TREASURY] Create treasury and chain schema</t>
        </is>
      </c>
      <c r="D209" s="2" t="inlineStr">
        <is>
          <t>treasury</t>
        </is>
      </c>
      <c r="E209" s="2" t="inlineStr">
        <is>
          <t>[EPIC] M02 · Treasury &amp; Chain Configuration</t>
        </is>
      </c>
      <c r="F209" s="2" t="inlineStr">
        <is>
          <t>P0</t>
        </is>
      </c>
      <c r="G209" s="2" t="inlineStr">
        <is>
          <t>M1</t>
        </is>
      </c>
      <c r="H209" s="2" t="inlineStr">
        <is>
          <t>S</t>
        </is>
      </c>
      <c r="I209" s="2">
        <f>IF(H209="S",0.5,IF(H209="M",1,IF(H209="L",2,0)))</f>
        <v/>
      </c>
      <c r="J209" s="2" t="inlineStr">
        <is>
          <t>A</t>
        </is>
      </c>
      <c r="K209" s="2" t="inlineStr">
        <is>
          <t>backend</t>
        </is>
      </c>
      <c r="L209" s="2" t="inlineStr">
        <is>
          <t>Assigned</t>
        </is>
      </c>
      <c r="M209" s="2" t="inlineStr">
        <is>
          <t>Nostidus4</t>
        </is>
      </c>
      <c r="N209" s="2" t="inlineStr">
        <is>
          <t>OPEN</t>
        </is>
      </c>
      <c r="O209" s="2" t="inlineStr">
        <is>
          <t>IDN-001</t>
        </is>
      </c>
      <c r="P209" s="2">
        <f>IF(O209="",0,SUMPRODUCT(--ISNUMBER(SEARCH(", "&amp;$A$2:$A$245&amp;",",", "&amp;O209&amp;",")),--($L$2:$L$245&lt;&gt;"Done")))</f>
        <v/>
      </c>
      <c r="Q209" s="3" t="inlineStr">
        <is>
          <t>open</t>
        </is>
      </c>
    </row>
    <row r="210">
      <c r="A210" s="2" t="inlineStr">
        <is>
          <t>TRS-002</t>
        </is>
      </c>
      <c r="B210" s="2" t="n">
        <v>34</v>
      </c>
      <c r="C210" s="2" t="inlineStr">
        <is>
          <t>[TREASURY] Load and validate platform chain configuration</t>
        </is>
      </c>
      <c r="D210" s="2" t="inlineStr">
        <is>
          <t>treasury</t>
        </is>
      </c>
      <c r="E210" s="2" t="inlineStr">
        <is>
          <t>[EPIC] M02 · Treasury &amp; Chain Configuration</t>
        </is>
      </c>
      <c r="F210" s="2" t="inlineStr">
        <is>
          <t>P0</t>
        </is>
      </c>
      <c r="G210" s="2" t="inlineStr">
        <is>
          <t>M1</t>
        </is>
      </c>
      <c r="H210" s="2" t="inlineStr">
        <is>
          <t>S</t>
        </is>
      </c>
      <c r="I210" s="2">
        <f>IF(H210="S",0.5,IF(H210="M",1,IF(H210="L",2,0)))</f>
        <v/>
      </c>
      <c r="J210" s="2" t="inlineStr">
        <is>
          <t>A</t>
        </is>
      </c>
      <c r="K210" s="2" t="inlineStr">
        <is>
          <t>backend</t>
        </is>
      </c>
      <c r="L210" s="2" t="inlineStr">
        <is>
          <t>Assigned</t>
        </is>
      </c>
      <c r="M210" s="2" t="inlineStr">
        <is>
          <t>Nostidus4</t>
        </is>
      </c>
      <c r="N210" s="2" t="inlineStr">
        <is>
          <t>OPEN</t>
        </is>
      </c>
      <c r="O210" s="2" t="inlineStr">
        <is>
          <t>TRS-001</t>
        </is>
      </c>
      <c r="P210" s="2">
        <f>IF(O210="",0,SUMPRODUCT(--ISNUMBER(SEARCH(", "&amp;$A$2:$A$245&amp;",",", "&amp;O210&amp;",")),--($L$2:$L$245&lt;&gt;"Done")))</f>
        <v/>
      </c>
      <c r="Q210" s="3" t="inlineStr">
        <is>
          <t>open</t>
        </is>
      </c>
    </row>
    <row r="211">
      <c r="A211" s="2" t="inlineStr">
        <is>
          <t>TRS-003</t>
        </is>
      </c>
      <c r="B211" s="2" t="n">
        <v>36</v>
      </c>
      <c r="C211" s="2" t="inlineStr">
        <is>
          <t>[TREASURY] Implement the asset registry with on-chain decimals check</t>
        </is>
      </c>
      <c r="D211" s="2" t="inlineStr">
        <is>
          <t>treasury</t>
        </is>
      </c>
      <c r="E211" s="2" t="inlineStr">
        <is>
          <t>[EPIC] M02 · Treasury &amp; Chain Configuration</t>
        </is>
      </c>
      <c r="F211" s="2" t="inlineStr">
        <is>
          <t>P0</t>
        </is>
      </c>
      <c r="G211" s="2" t="inlineStr">
        <is>
          <t>M1</t>
        </is>
      </c>
      <c r="H211" s="2" t="inlineStr">
        <is>
          <t>S</t>
        </is>
      </c>
      <c r="I211" s="2">
        <f>IF(H211="S",0.5,IF(H211="M",1,IF(H211="L",2,0)))</f>
        <v/>
      </c>
      <c r="J211" s="2" t="inlineStr">
        <is>
          <t>A</t>
        </is>
      </c>
      <c r="K211" s="2" t="inlineStr">
        <is>
          <t>backend</t>
        </is>
      </c>
      <c r="L211" s="2" t="inlineStr">
        <is>
          <t>Assigned</t>
        </is>
      </c>
      <c r="M211" s="2" t="inlineStr">
        <is>
          <t>Nostidus4</t>
        </is>
      </c>
      <c r="N211" s="2" t="inlineStr">
        <is>
          <t>OPEN</t>
        </is>
      </c>
      <c r="O211" s="2" t="inlineStr">
        <is>
          <t>TRS-002, CHR-001</t>
        </is>
      </c>
      <c r="P211" s="2">
        <f>IF(O211="",0,SUMPRODUCT(--ISNUMBER(SEARCH(", "&amp;$A$2:$A$245&amp;",",", "&amp;O211&amp;",")),--($L$2:$L$245&lt;&gt;"Done")))</f>
        <v/>
      </c>
      <c r="Q211" s="3" t="inlineStr">
        <is>
          <t>open</t>
        </is>
      </c>
    </row>
    <row r="212">
      <c r="A212" s="2" t="inlineStr">
        <is>
          <t>TRS-004</t>
        </is>
      </c>
      <c r="B212" s="2" t="n">
        <v>40</v>
      </c>
      <c r="C212" s="2" t="inlineStr">
        <is>
          <t>[TREASURY] Implement treasury creation with Safe verification</t>
        </is>
      </c>
      <c r="D212" s="2" t="inlineStr">
        <is>
          <t>treasury</t>
        </is>
      </c>
      <c r="E212" s="2" t="inlineStr">
        <is>
          <t>[EPIC] M02 · Treasury &amp; Chain Configuration</t>
        </is>
      </c>
      <c r="F212" s="2" t="inlineStr">
        <is>
          <t>P0</t>
        </is>
      </c>
      <c r="G212" s="2" t="inlineStr">
        <is>
          <t>M1</t>
        </is>
      </c>
      <c r="H212" s="2" t="inlineStr">
        <is>
          <t>M</t>
        </is>
      </c>
      <c r="I212" s="2">
        <f>IF(H212="S",0.5,IF(H212="M",1,IF(H212="L",2,0)))</f>
        <v/>
      </c>
      <c r="J212" s="2" t="inlineStr">
        <is>
          <t>A</t>
        </is>
      </c>
      <c r="K212" s="2" t="inlineStr">
        <is>
          <t>backend</t>
        </is>
      </c>
      <c r="L212" s="2" t="inlineStr">
        <is>
          <t>Assigned</t>
        </is>
      </c>
      <c r="M212" s="2" t="inlineStr">
        <is>
          <t>Nostidus4</t>
        </is>
      </c>
      <c r="N212" s="2" t="inlineStr">
        <is>
          <t>OPEN</t>
        </is>
      </c>
      <c r="O212" s="2" t="inlineStr">
        <is>
          <t>TRS-003, IDN-006</t>
        </is>
      </c>
      <c r="P212" s="2">
        <f>IF(O212="",0,SUMPRODUCT(--ISNUMBER(SEARCH(", "&amp;$A$2:$A$245&amp;",",", "&amp;O212&amp;",")),--($L$2:$L$245&lt;&gt;"Done")))</f>
        <v/>
      </c>
      <c r="Q212" s="3" t="inlineStr">
        <is>
          <t>open</t>
        </is>
      </c>
    </row>
    <row r="213">
      <c r="A213" s="2" t="inlineStr">
        <is>
          <t>TRS-005</t>
        </is>
      </c>
      <c r="B213" s="2" t="n">
        <v>112</v>
      </c>
      <c r="C213" s="2" t="inlineStr">
        <is>
          <t>[TREASURY] Read and snapshot Safe configuration</t>
        </is>
      </c>
      <c r="D213" s="2" t="inlineStr">
        <is>
          <t>treasury</t>
        </is>
      </c>
      <c r="E213" s="2" t="inlineStr">
        <is>
          <t>[EPIC] M02 · Treasury &amp; Chain Configuration</t>
        </is>
      </c>
      <c r="F213" s="2" t="inlineStr">
        <is>
          <t>P0</t>
        </is>
      </c>
      <c r="G213" s="2" t="inlineStr">
        <is>
          <t>M1</t>
        </is>
      </c>
      <c r="H213" s="2" t="inlineStr">
        <is>
          <t>S</t>
        </is>
      </c>
      <c r="I213" s="2">
        <f>IF(H213="S",0.5,IF(H213="M",1,IF(H213="L",2,0)))</f>
        <v/>
      </c>
      <c r="J213" s="2" t="inlineStr">
        <is>
          <t>A</t>
        </is>
      </c>
      <c r="K213" s="2" t="inlineStr">
        <is>
          <t>backend</t>
        </is>
      </c>
      <c r="L213" s="2" t="inlineStr">
        <is>
          <t>Assigned</t>
        </is>
      </c>
      <c r="M213" s="2" t="inlineStr">
        <is>
          <t>Nostidus4</t>
        </is>
      </c>
      <c r="N213" s="2" t="inlineStr">
        <is>
          <t>OPEN</t>
        </is>
      </c>
      <c r="O213" s="2" t="inlineStr">
        <is>
          <t>TRS-004</t>
        </is>
      </c>
      <c r="P213" s="2">
        <f>IF(O213="",0,SUMPRODUCT(--ISNUMBER(SEARCH(", "&amp;$A$2:$A$245&amp;",",", "&amp;O213&amp;",")),--($L$2:$L$245&lt;&gt;"Done")))</f>
        <v/>
      </c>
      <c r="Q213" s="3" t="inlineStr">
        <is>
          <t>open</t>
        </is>
      </c>
    </row>
    <row r="214">
      <c r="A214" s="2" t="inlineStr">
        <is>
          <t>TRS-006</t>
        </is>
      </c>
      <c r="B214" s="2" t="n">
        <v>44</v>
      </c>
      <c r="C214" s="2" t="inlineStr">
        <is>
          <t>[TREASURY] Build the module deploy-and-enable Safe transaction</t>
        </is>
      </c>
      <c r="D214" s="2" t="inlineStr">
        <is>
          <t>treasury</t>
        </is>
      </c>
      <c r="E214" s="2" t="inlineStr">
        <is>
          <t>[EPIC] M02 · Treasury &amp; Chain Configuration</t>
        </is>
      </c>
      <c r="F214" s="2" t="inlineStr">
        <is>
          <t>P0</t>
        </is>
      </c>
      <c r="G214" s="2" t="inlineStr">
        <is>
          <t>M1</t>
        </is>
      </c>
      <c r="H214" s="2" t="inlineStr">
        <is>
          <t>M</t>
        </is>
      </c>
      <c r="I214" s="2">
        <f>IF(H214="S",0.5,IF(H214="M",1,IF(H214="L",2,0)))</f>
        <v/>
      </c>
      <c r="J214" s="2" t="inlineStr">
        <is>
          <t>A</t>
        </is>
      </c>
      <c r="K214" s="2" t="inlineStr">
        <is>
          <t>backend</t>
        </is>
      </c>
      <c r="L214" s="2" t="inlineStr">
        <is>
          <t>Assigned</t>
        </is>
      </c>
      <c r="M214" s="2" t="inlineStr">
        <is>
          <t>Nostidus4</t>
        </is>
      </c>
      <c r="N214" s="2" t="inlineStr">
        <is>
          <t>OPEN</t>
        </is>
      </c>
      <c r="O214" s="2" t="inlineStr">
        <is>
          <t>TRS-004, SC-016, SC-021, MDT-009</t>
        </is>
      </c>
      <c r="P214" s="2">
        <f>IF(O214="",0,SUMPRODUCT(--ISNUMBER(SEARCH(", "&amp;$A$2:$A$245&amp;",",", "&amp;O214&amp;",")),--($L$2:$L$245&lt;&gt;"Done")))</f>
        <v/>
      </c>
      <c r="Q214" s="3" t="inlineStr">
        <is>
          <t>open</t>
        </is>
      </c>
    </row>
    <row r="215">
      <c r="A215" s="2" t="inlineStr">
        <is>
          <t>TRS-007</t>
        </is>
      </c>
      <c r="B215" s="2" t="n">
        <v>113</v>
      </c>
      <c r="C215" s="2" t="inlineStr">
        <is>
          <t>[TREASURY] Compute coverage and handle acknowledgment</t>
        </is>
      </c>
      <c r="D215" s="2" t="inlineStr">
        <is>
          <t>treasury</t>
        </is>
      </c>
      <c r="E215" s="2" t="inlineStr">
        <is>
          <t>[EPIC] M02 · Treasury &amp; Chain Configuration</t>
        </is>
      </c>
      <c r="F215" s="2" t="inlineStr">
        <is>
          <t>P0</t>
        </is>
      </c>
      <c r="G215" s="2" t="inlineStr">
        <is>
          <t>M1</t>
        </is>
      </c>
      <c r="H215" s="2" t="inlineStr">
        <is>
          <t>M</t>
        </is>
      </c>
      <c r="I215" s="2">
        <f>IF(H215="S",0.5,IF(H215="M",1,IF(H215="L",2,0)))</f>
        <v/>
      </c>
      <c r="J215" s="2" t="inlineStr">
        <is>
          <t>A</t>
        </is>
      </c>
      <c r="K215" s="2" t="inlineStr">
        <is>
          <t>backend</t>
        </is>
      </c>
      <c r="L215" s="2" t="inlineStr">
        <is>
          <t>Assigned</t>
        </is>
      </c>
      <c r="M215" s="2" t="inlineStr">
        <is>
          <t>Nostidus4</t>
        </is>
      </c>
      <c r="N215" s="2" t="inlineStr">
        <is>
          <t>OPEN</t>
        </is>
      </c>
      <c r="O215" s="2" t="inlineStr">
        <is>
          <t>TRS-005, TRS-006</t>
        </is>
      </c>
      <c r="P215" s="2">
        <f>IF(O215="",0,SUMPRODUCT(--ISNUMBER(SEARCH(", "&amp;$A$2:$A$245&amp;",",", "&amp;O215&amp;",")),--($L$2:$L$245&lt;&gt;"Done")))</f>
        <v/>
      </c>
      <c r="Q215" s="3" t="inlineStr">
        <is>
          <t>open</t>
        </is>
      </c>
    </row>
    <row r="216">
      <c r="A216" s="2" t="inlineStr">
        <is>
          <t>TRS-008</t>
        </is>
      </c>
      <c r="B216" s="2" t="n">
        <v>114</v>
      </c>
      <c r="C216" s="2" t="inlineStr">
        <is>
          <t>[TREASURY] Build a Safe deployment transaction from the UI</t>
        </is>
      </c>
      <c r="D216" s="2" t="inlineStr">
        <is>
          <t>treasury</t>
        </is>
      </c>
      <c r="E216" s="2" t="inlineStr">
        <is>
          <t>[EPIC] M02 · Treasury &amp; Chain Configuration</t>
        </is>
      </c>
      <c r="F216" s="2" t="inlineStr">
        <is>
          <t>P2</t>
        </is>
      </c>
      <c r="G216" s="2" t="inlineStr">
        <is>
          <t>M1</t>
        </is>
      </c>
      <c r="H216" s="2" t="inlineStr">
        <is>
          <t>S</t>
        </is>
      </c>
      <c r="I216" s="2">
        <f>IF(H216="S",0.5,IF(H216="M",1,IF(H216="L",2,0)))</f>
        <v/>
      </c>
      <c r="J216" s="2" t="inlineStr">
        <is>
          <t>After submission</t>
        </is>
      </c>
      <c r="K216" s="2" t="inlineStr">
        <is>
          <t>backend</t>
        </is>
      </c>
      <c r="L216" s="2" t="inlineStr">
        <is>
          <t>Assigned</t>
        </is>
      </c>
      <c r="M216" s="2" t="inlineStr">
        <is>
          <t>Nostidus4</t>
        </is>
      </c>
      <c r="N216" s="2" t="inlineStr">
        <is>
          <t>OPEN</t>
        </is>
      </c>
      <c r="O216" s="2" t="inlineStr">
        <is>
          <t>TRS-004</t>
        </is>
      </c>
      <c r="P216" s="2">
        <f>IF(O216="",0,SUMPRODUCT(--ISNUMBER(SEARCH(", "&amp;$A$2:$A$245&amp;",",", "&amp;O216&amp;",")),--($L$2:$L$245&lt;&gt;"Done")))</f>
        <v/>
      </c>
      <c r="Q216" s="3" t="inlineStr">
        <is>
          <t>open</t>
        </is>
      </c>
    </row>
    <row r="217">
      <c r="A217" s="2" t="inlineStr">
        <is>
          <t>TRS-L01</t>
        </is>
      </c>
      <c r="B217" s="2" t="n">
        <v>115</v>
      </c>
      <c r="C217" s="2" t="inlineStr">
        <is>
          <t>[TREASURY] Support multiple treasuries with a consolidated view</t>
        </is>
      </c>
      <c r="D217" s="2" t="inlineStr">
        <is>
          <t>treasury</t>
        </is>
      </c>
      <c r="E217" s="2" t="inlineStr">
        <is>
          <t>[EPIC] M02 · Treasury &amp; Chain Configuration</t>
        </is>
      </c>
      <c r="F217" s="2" t="inlineStr">
        <is>
          <t>—</t>
        </is>
      </c>
      <c r="G217" s="2" t="inlineStr">
        <is>
          <t>Later</t>
        </is>
      </c>
      <c r="H217" s="2" t="inlineStr">
        <is>
          <t>M</t>
        </is>
      </c>
      <c r="I217" s="2">
        <f>IF(H217="S",0.5,IF(H217="M",1,IF(H217="L",2,0)))</f>
        <v/>
      </c>
      <c r="J217" s="2" t="inlineStr">
        <is>
          <t>Later</t>
        </is>
      </c>
      <c r="K217" s="2" t="inlineStr">
        <is>
          <t>backend</t>
        </is>
      </c>
      <c r="L217" s="2" t="inlineStr">
        <is>
          <t>Accepted</t>
        </is>
      </c>
      <c r="M217" s="2" t="inlineStr"/>
      <c r="N217" s="2" t="inlineStr">
        <is>
          <t>OPEN</t>
        </is>
      </c>
      <c r="O217" s="2" t="inlineStr">
        <is>
          <t>TRS-004</t>
        </is>
      </c>
      <c r="P217" s="2">
        <f>IF(O217="",0,SUMPRODUCT(--ISNUMBER(SEARCH(", "&amp;$A$2:$A$245&amp;",",", "&amp;O217&amp;",")),--($L$2:$L$245&lt;&gt;"Done")))</f>
        <v/>
      </c>
      <c r="Q217" s="3" t="inlineStr">
        <is>
          <t>open</t>
        </is>
      </c>
    </row>
    <row r="218">
      <c r="A218" s="2" t="inlineStr">
        <is>
          <t>TRS-L02</t>
        </is>
      </c>
      <c r="B218" s="2" t="n">
        <v>116</v>
      </c>
      <c r="C218" s="2" t="inlineStr">
        <is>
          <t>[TREASURY] Support multiple stablecoins per treasury</t>
        </is>
      </c>
      <c r="D218" s="2" t="inlineStr">
        <is>
          <t>treasury</t>
        </is>
      </c>
      <c r="E218" s="2" t="inlineStr">
        <is>
          <t>[EPIC] M02 · Treasury &amp; Chain Configuration</t>
        </is>
      </c>
      <c r="F218" s="2" t="inlineStr">
        <is>
          <t>—</t>
        </is>
      </c>
      <c r="G218" s="2" t="inlineStr">
        <is>
          <t>Later</t>
        </is>
      </c>
      <c r="H218" s="2" t="inlineStr">
        <is>
          <t>M</t>
        </is>
      </c>
      <c r="I218" s="2">
        <f>IF(H218="S",0.5,IF(H218="M",1,IF(H218="L",2,0)))</f>
        <v/>
      </c>
      <c r="J218" s="2" t="inlineStr">
        <is>
          <t>Later</t>
        </is>
      </c>
      <c r="K218" s="2" t="inlineStr">
        <is>
          <t>backend</t>
        </is>
      </c>
      <c r="L218" s="2" t="inlineStr">
        <is>
          <t>Accepted</t>
        </is>
      </c>
      <c r="M218" s="2" t="inlineStr"/>
      <c r="N218" s="2" t="inlineStr">
        <is>
          <t>OPEN</t>
        </is>
      </c>
      <c r="O218" s="2" t="inlineStr">
        <is>
          <t>TRS-L01, SC-L05</t>
        </is>
      </c>
      <c r="P218" s="2">
        <f>IF(O218="",0,SUMPRODUCT(--ISNUMBER(SEARCH(", "&amp;$A$2:$A$245&amp;",",", "&amp;O218&amp;",")),--($L$2:$L$245&lt;&gt;"Done")))</f>
        <v/>
      </c>
      <c r="Q218" s="3" t="inlineStr">
        <is>
          <t>open</t>
        </is>
      </c>
    </row>
    <row r="219">
      <c r="A219" s="2" t="inlineStr">
        <is>
          <t>WEB-001</t>
        </is>
      </c>
      <c r="B219" s="2" t="n">
        <v>26</v>
      </c>
      <c r="C219" s="2" t="inlineStr">
        <is>
          <t>[WEB] Create the web app shell</t>
        </is>
      </c>
      <c r="D219" s="2" t="inlineStr">
        <is>
          <t>web</t>
        </is>
      </c>
      <c r="E219" s="2" t="inlineStr">
        <is>
          <t>[EPIC] M16 · Web Application</t>
        </is>
      </c>
      <c r="F219" s="2" t="inlineStr">
        <is>
          <t>P0</t>
        </is>
      </c>
      <c r="G219" s="2" t="inlineStr">
        <is>
          <t>M1</t>
        </is>
      </c>
      <c r="H219" s="2" t="inlineStr">
        <is>
          <t>M</t>
        </is>
      </c>
      <c r="I219" s="2">
        <f>IF(H219="S",0.5,IF(H219="M",1,IF(H219="L",2,0)))</f>
        <v/>
      </c>
      <c r="J219" s="2" t="inlineStr">
        <is>
          <t>A</t>
        </is>
      </c>
      <c r="K219" s="2" t="inlineStr">
        <is>
          <t>frontend</t>
        </is>
      </c>
      <c r="L219" s="2" t="inlineStr">
        <is>
          <t>Done</t>
        </is>
      </c>
      <c r="M219" s="2" t="inlineStr"/>
      <c r="N219" s="2" t="inlineStr">
        <is>
          <t>CLOSED</t>
        </is>
      </c>
      <c r="O219" s="2" t="inlineStr">
        <is>
          <t>DEV-001</t>
        </is>
      </c>
      <c r="P219" s="2">
        <f>IF(O219="",0,SUMPRODUCT(--ISNUMBER(SEARCH(", "&amp;$A$2:$A$245&amp;",",", "&amp;O219&amp;",")),--($L$2:$L$245&lt;&gt;"Done")))</f>
        <v/>
      </c>
      <c r="Q219" s="3" t="inlineStr">
        <is>
          <t>open</t>
        </is>
      </c>
    </row>
    <row r="220">
      <c r="A220" s="2" t="inlineStr">
        <is>
          <t>WEB-002</t>
        </is>
      </c>
      <c r="B220" s="2" t="n">
        <v>208</v>
      </c>
      <c r="C220" s="2" t="inlineStr">
        <is>
          <t>[WEB] Build login, org selection and onboarding checklist</t>
        </is>
      </c>
      <c r="D220" s="2" t="inlineStr">
        <is>
          <t>web</t>
        </is>
      </c>
      <c r="E220" s="2" t="inlineStr">
        <is>
          <t>[EPIC] M16 · Web Application</t>
        </is>
      </c>
      <c r="F220" s="2" t="inlineStr">
        <is>
          <t>P0</t>
        </is>
      </c>
      <c r="G220" s="2" t="inlineStr">
        <is>
          <t>M1</t>
        </is>
      </c>
      <c r="H220" s="2" t="inlineStr">
        <is>
          <t>M</t>
        </is>
      </c>
      <c r="I220" s="2">
        <f>IF(H220="S",0.5,IF(H220="M",1,IF(H220="L",2,0)))</f>
        <v/>
      </c>
      <c r="J220" s="2" t="inlineStr">
        <is>
          <t>A</t>
        </is>
      </c>
      <c r="K220" s="2" t="inlineStr">
        <is>
          <t>frontend</t>
        </is>
      </c>
      <c r="L220" s="2" t="inlineStr">
        <is>
          <t>Assigned</t>
        </is>
      </c>
      <c r="M220" s="2" t="inlineStr">
        <is>
          <t>Nostidus4</t>
        </is>
      </c>
      <c r="N220" s="2" t="inlineStr">
        <is>
          <t>OPEN</t>
        </is>
      </c>
      <c r="O220" s="2" t="inlineStr">
        <is>
          <t>WEB-001, IDN-005</t>
        </is>
      </c>
      <c r="P220" s="2">
        <f>IF(O220="",0,SUMPRODUCT(--ISNUMBER(SEARCH(", "&amp;$A$2:$A$245&amp;",",", "&amp;O220&amp;",")),--($L$2:$L$245&lt;&gt;"Done")))</f>
        <v/>
      </c>
      <c r="Q220" s="3" t="inlineStr">
        <is>
          <t>open</t>
        </is>
      </c>
    </row>
    <row r="221">
      <c r="A221" s="2" t="inlineStr">
        <is>
          <t>WEB-003</t>
        </is>
      </c>
      <c r="B221" s="2" t="n">
        <v>209</v>
      </c>
      <c r="C221" s="2" t="inlineStr">
        <is>
          <t>[WEB] Add wallet connection and SIWE linking</t>
        </is>
      </c>
      <c r="D221" s="2" t="inlineStr">
        <is>
          <t>web</t>
        </is>
      </c>
      <c r="E221" s="2" t="inlineStr">
        <is>
          <t>[EPIC] M16 · Web Application</t>
        </is>
      </c>
      <c r="F221" s="2" t="inlineStr">
        <is>
          <t>P0</t>
        </is>
      </c>
      <c r="G221" s="2" t="inlineStr">
        <is>
          <t>M1</t>
        </is>
      </c>
      <c r="H221" s="2" t="inlineStr">
        <is>
          <t>S</t>
        </is>
      </c>
      <c r="I221" s="2">
        <f>IF(H221="S",0.5,IF(H221="M",1,IF(H221="L",2,0)))</f>
        <v/>
      </c>
      <c r="J221" s="2" t="inlineStr">
        <is>
          <t>A</t>
        </is>
      </c>
      <c r="K221" s="2" t="inlineStr">
        <is>
          <t>frontend</t>
        </is>
      </c>
      <c r="L221" s="2" t="inlineStr">
        <is>
          <t>Assigned</t>
        </is>
      </c>
      <c r="M221" s="2" t="inlineStr">
        <is>
          <t>Nostidus4</t>
        </is>
      </c>
      <c r="N221" s="2" t="inlineStr">
        <is>
          <t>OPEN</t>
        </is>
      </c>
      <c r="O221" s="2" t="inlineStr">
        <is>
          <t>WEB-002, IDN-004</t>
        </is>
      </c>
      <c r="P221" s="2">
        <f>IF(O221="",0,SUMPRODUCT(--ISNUMBER(SEARCH(", "&amp;$A$2:$A$245&amp;",",", "&amp;O221&amp;",")),--($L$2:$L$245&lt;&gt;"Done")))</f>
        <v/>
      </c>
      <c r="Q221" s="3" t="inlineStr">
        <is>
          <t>open</t>
        </is>
      </c>
    </row>
    <row r="222">
      <c r="A222" s="2" t="inlineStr">
        <is>
          <t>WEB-004</t>
        </is>
      </c>
      <c r="B222" s="2" t="n">
        <v>210</v>
      </c>
      <c r="C222" s="2" t="inlineStr">
        <is>
          <t>[WEB] Build the treasury setup wizard</t>
        </is>
      </c>
      <c r="D222" s="2" t="inlineStr">
        <is>
          <t>web</t>
        </is>
      </c>
      <c r="E222" s="2" t="inlineStr">
        <is>
          <t>[EPIC] M16 · Web Application</t>
        </is>
      </c>
      <c r="F222" s="2" t="inlineStr">
        <is>
          <t>P0</t>
        </is>
      </c>
      <c r="G222" s="2" t="inlineStr">
        <is>
          <t>M1</t>
        </is>
      </c>
      <c r="H222" s="2" t="inlineStr">
        <is>
          <t>M</t>
        </is>
      </c>
      <c r="I222" s="2">
        <f>IF(H222="S",0.5,IF(H222="M",1,IF(H222="L",2,0)))</f>
        <v/>
      </c>
      <c r="J222" s="2" t="inlineStr">
        <is>
          <t>A</t>
        </is>
      </c>
      <c r="K222" s="2" t="inlineStr">
        <is>
          <t>frontend</t>
        </is>
      </c>
      <c r="L222" s="2" t="inlineStr">
        <is>
          <t>Assigned</t>
        </is>
      </c>
      <c r="M222" s="2" t="inlineStr">
        <is>
          <t>Nostidus4</t>
        </is>
      </c>
      <c r="N222" s="2" t="inlineStr">
        <is>
          <t>OPEN</t>
        </is>
      </c>
      <c r="O222" s="2" t="inlineStr">
        <is>
          <t>WEB-003, TRS-007, WEB-025</t>
        </is>
      </c>
      <c r="P222" s="2">
        <f>IF(O222="",0,SUMPRODUCT(--ISNUMBER(SEARCH(", "&amp;$A$2:$A$245&amp;",",", "&amp;O222&amp;",")),--($L$2:$L$245&lt;&gt;"Done")))</f>
        <v/>
      </c>
      <c r="Q222" s="3" t="inlineStr">
        <is>
          <t>open</t>
        </is>
      </c>
    </row>
    <row r="223">
      <c r="A223" s="2" t="inlineStr">
        <is>
          <t>WEB-005</t>
        </is>
      </c>
      <c r="B223" s="2" t="n">
        <v>211</v>
      </c>
      <c r="C223" s="2" t="inlineStr">
        <is>
          <t>[WEB] Build the mandate editor with summary, diff and activation</t>
        </is>
      </c>
      <c r="D223" s="2" t="inlineStr">
        <is>
          <t>web</t>
        </is>
      </c>
      <c r="E223" s="2" t="inlineStr">
        <is>
          <t>[EPIC] M16 · Web Application</t>
        </is>
      </c>
      <c r="F223" s="2" t="inlineStr">
        <is>
          <t>P0</t>
        </is>
      </c>
      <c r="G223" s="2" t="inlineStr">
        <is>
          <t>M1</t>
        </is>
      </c>
      <c r="H223" s="2" t="inlineStr">
        <is>
          <t>L</t>
        </is>
      </c>
      <c r="I223" s="2">
        <f>IF(H223="S",0.5,IF(H223="M",1,IF(H223="L",2,0)))</f>
        <v/>
      </c>
      <c r="J223" s="2" t="inlineStr">
        <is>
          <t>B</t>
        </is>
      </c>
      <c r="K223" s="2" t="inlineStr">
        <is>
          <t>frontend</t>
        </is>
      </c>
      <c r="L223" s="2" t="inlineStr">
        <is>
          <t>Assigned</t>
        </is>
      </c>
      <c r="M223" s="2" t="inlineStr">
        <is>
          <t>Nostidus4</t>
        </is>
      </c>
      <c r="N223" s="2" t="inlineStr">
        <is>
          <t>OPEN</t>
        </is>
      </c>
      <c r="O223" s="2" t="inlineStr">
        <is>
          <t>WEB-004, MDT-003, WEB-025</t>
        </is>
      </c>
      <c r="P223" s="2">
        <f>IF(O223="",0,SUMPRODUCT(--ISNUMBER(SEARCH(", "&amp;$A$2:$A$245&amp;",",", "&amp;O223&amp;",")),--($L$2:$L$245&lt;&gt;"Done")))</f>
        <v/>
      </c>
      <c r="Q223" s="3" t="inlineStr">
        <is>
          <t>open</t>
        </is>
      </c>
    </row>
    <row r="224">
      <c r="A224" s="2" t="inlineStr">
        <is>
          <t>WEB-006</t>
        </is>
      </c>
      <c r="B224" s="2" t="n">
        <v>212</v>
      </c>
      <c r="C224" s="2" t="inlineStr">
        <is>
          <t>[WEB] Build the payee registry UI</t>
        </is>
      </c>
      <c r="D224" s="2" t="inlineStr">
        <is>
          <t>web</t>
        </is>
      </c>
      <c r="E224" s="2" t="inlineStr">
        <is>
          <t>[EPIC] M16 · Web Application</t>
        </is>
      </c>
      <c r="F224" s="2" t="inlineStr">
        <is>
          <t>P0</t>
        </is>
      </c>
      <c r="G224" s="2" t="inlineStr">
        <is>
          <t>M1</t>
        </is>
      </c>
      <c r="H224" s="2" t="inlineStr">
        <is>
          <t>M</t>
        </is>
      </c>
      <c r="I224" s="2">
        <f>IF(H224="S",0.5,IF(H224="M",1,IF(H224="L",2,0)))</f>
        <v/>
      </c>
      <c r="J224" s="2" t="inlineStr">
        <is>
          <t>B</t>
        </is>
      </c>
      <c r="K224" s="2" t="inlineStr">
        <is>
          <t>frontend</t>
        </is>
      </c>
      <c r="L224" s="2" t="inlineStr">
        <is>
          <t>Assigned</t>
        </is>
      </c>
      <c r="M224" s="2" t="inlineStr">
        <is>
          <t>Nostidus4</t>
        </is>
      </c>
      <c r="N224" s="2" t="inlineStr">
        <is>
          <t>OPEN</t>
        </is>
      </c>
      <c r="O224" s="2" t="inlineStr">
        <is>
          <t>WEB-004, MDT-005, WEB-025</t>
        </is>
      </c>
      <c r="P224" s="2">
        <f>IF(O224="",0,SUMPRODUCT(--ISNUMBER(SEARCH(", "&amp;$A$2:$A$245&amp;",",", "&amp;O224&amp;",")),--($L$2:$L$245&lt;&gt;"Done")))</f>
        <v/>
      </c>
      <c r="Q224" s="3" t="inlineStr">
        <is>
          <t>open</t>
        </is>
      </c>
    </row>
    <row r="225">
      <c r="A225" s="2" t="inlineStr">
        <is>
          <t>WEB-007</t>
        </is>
      </c>
      <c r="B225" s="2" t="n">
        <v>213</v>
      </c>
      <c r="C225" s="2" t="inlineStr">
        <is>
          <t>[WEB] Build the request list and manual entry form</t>
        </is>
      </c>
      <c r="D225" s="2" t="inlineStr">
        <is>
          <t>web</t>
        </is>
      </c>
      <c r="E225" s="2" t="inlineStr">
        <is>
          <t>[EPIC] M16 · Web Application</t>
        </is>
      </c>
      <c r="F225" s="2" t="inlineStr">
        <is>
          <t>P0</t>
        </is>
      </c>
      <c r="G225" s="2" t="inlineStr">
        <is>
          <t>M1</t>
        </is>
      </c>
      <c r="H225" s="2" t="inlineStr">
        <is>
          <t>M</t>
        </is>
      </c>
      <c r="I225" s="2">
        <f>IF(H225="S",0.5,IF(H225="M",1,IF(H225="L",2,0)))</f>
        <v/>
      </c>
      <c r="J225" s="2" t="inlineStr">
        <is>
          <t>A</t>
        </is>
      </c>
      <c r="K225" s="2" t="inlineStr">
        <is>
          <t>frontend</t>
        </is>
      </c>
      <c r="L225" s="2" t="inlineStr">
        <is>
          <t>Assigned</t>
        </is>
      </c>
      <c r="M225" s="2" t="inlineStr">
        <is>
          <t>Nostidus4</t>
        </is>
      </c>
      <c r="N225" s="2" t="inlineStr">
        <is>
          <t>OPEN</t>
        </is>
      </c>
      <c r="O225" s="2" t="inlineStr">
        <is>
          <t>WEB-002, INV-003</t>
        </is>
      </c>
      <c r="P225" s="2">
        <f>IF(O225="",0,SUMPRODUCT(--ISNUMBER(SEARCH(", "&amp;$A$2:$A$245&amp;",",", "&amp;O225&amp;",")),--($L$2:$L$245&lt;&gt;"Done")))</f>
        <v/>
      </c>
      <c r="Q225" s="3" t="inlineStr">
        <is>
          <t>open</t>
        </is>
      </c>
    </row>
    <row r="226">
      <c r="A226" s="2" t="inlineStr">
        <is>
          <t>WEB-008</t>
        </is>
      </c>
      <c r="B226" s="2" t="n">
        <v>214</v>
      </c>
      <c r="C226" s="2" t="inlineStr">
        <is>
          <t>[WEB] Build upload and extraction review</t>
        </is>
      </c>
      <c r="D226" s="2" t="inlineStr">
        <is>
          <t>web</t>
        </is>
      </c>
      <c r="E226" s="2" t="inlineStr">
        <is>
          <t>[EPIC] M16 · Web Application</t>
        </is>
      </c>
      <c r="F226" s="2" t="inlineStr">
        <is>
          <t>P0</t>
        </is>
      </c>
      <c r="G226" s="2" t="inlineStr">
        <is>
          <t>M1</t>
        </is>
      </c>
      <c r="H226" s="2" t="inlineStr">
        <is>
          <t>L</t>
        </is>
      </c>
      <c r="I226" s="2">
        <f>IF(H226="S",0.5,IF(H226="M",1,IF(H226="L",2,0)))</f>
        <v/>
      </c>
      <c r="J226" s="2" t="inlineStr">
        <is>
          <t>A</t>
        </is>
      </c>
      <c r="K226" s="2" t="inlineStr">
        <is>
          <t>frontend</t>
        </is>
      </c>
      <c r="L226" s="2" t="inlineStr">
        <is>
          <t>Assigned</t>
        </is>
      </c>
      <c r="M226" s="2" t="inlineStr">
        <is>
          <t>Nostidus4</t>
        </is>
      </c>
      <c r="N226" s="2" t="inlineStr">
        <is>
          <t>OPEN</t>
        </is>
      </c>
      <c r="O226" s="2" t="inlineStr">
        <is>
          <t>WEB-007, AGT-005</t>
        </is>
      </c>
      <c r="P226" s="2">
        <f>IF(O226="",0,SUMPRODUCT(--ISNUMBER(SEARCH(", "&amp;$A$2:$A$245&amp;",",", "&amp;O226&amp;",")),--($L$2:$L$245&lt;&gt;"Done")))</f>
        <v/>
      </c>
      <c r="Q226" s="3" t="inlineStr">
        <is>
          <t>open</t>
        </is>
      </c>
    </row>
    <row r="227">
      <c r="A227" s="2" t="inlineStr">
        <is>
          <t>WEB-009</t>
        </is>
      </c>
      <c r="B227" s="2" t="n">
        <v>215</v>
      </c>
      <c r="C227" s="2" t="inlineStr">
        <is>
          <t>[WEB] Build the approval inbox and EIP-712 signing</t>
        </is>
      </c>
      <c r="D227" s="2" t="inlineStr">
        <is>
          <t>web</t>
        </is>
      </c>
      <c r="E227" s="2" t="inlineStr">
        <is>
          <t>[EPIC] M16 · Web Application</t>
        </is>
      </c>
      <c r="F227" s="2" t="inlineStr">
        <is>
          <t>P0</t>
        </is>
      </c>
      <c r="G227" s="2" t="inlineStr">
        <is>
          <t>M1</t>
        </is>
      </c>
      <c r="H227" s="2" t="inlineStr">
        <is>
          <t>L</t>
        </is>
      </c>
      <c r="I227" s="2">
        <f>IF(H227="S",0.5,IF(H227="M",1,IF(H227="L",2,0)))</f>
        <v/>
      </c>
      <c r="J227" s="2" t="inlineStr">
        <is>
          <t>A</t>
        </is>
      </c>
      <c r="K227" s="2" t="inlineStr">
        <is>
          <t>frontend</t>
        </is>
      </c>
      <c r="L227" s="2" t="inlineStr">
        <is>
          <t>Assigned</t>
        </is>
      </c>
      <c r="M227" s="2" t="inlineStr">
        <is>
          <t>Nostidus4</t>
        </is>
      </c>
      <c r="N227" s="2" t="inlineStr">
        <is>
          <t>OPEN</t>
        </is>
      </c>
      <c r="O227" s="2" t="inlineStr">
        <is>
          <t>WEB-008, INV-010</t>
        </is>
      </c>
      <c r="P227" s="2">
        <f>IF(O227="",0,SUMPRODUCT(--ISNUMBER(SEARCH(", "&amp;$A$2:$A$245&amp;",",", "&amp;O227&amp;",")),--($L$2:$L$245&lt;&gt;"Done")))</f>
        <v/>
      </c>
      <c r="Q227" s="3" t="inlineStr">
        <is>
          <t>open</t>
        </is>
      </c>
    </row>
    <row r="228">
      <c r="A228" s="2" t="inlineStr">
        <is>
          <t>WEB-010</t>
        </is>
      </c>
      <c r="B228" s="2" t="n">
        <v>216</v>
      </c>
      <c r="C228" s="2" t="inlineStr">
        <is>
          <t>[WEB] Build the treasury dashboard</t>
        </is>
      </c>
      <c r="D228" s="2" t="inlineStr">
        <is>
          <t>web</t>
        </is>
      </c>
      <c r="E228" s="2" t="inlineStr">
        <is>
          <t>[EPIC] M16 · Web Application</t>
        </is>
      </c>
      <c r="F228" s="2" t="inlineStr">
        <is>
          <t>P0</t>
        </is>
      </c>
      <c r="G228" s="2" t="inlineStr">
        <is>
          <t>M1</t>
        </is>
      </c>
      <c r="H228" s="2" t="inlineStr">
        <is>
          <t>M</t>
        </is>
      </c>
      <c r="I228" s="2">
        <f>IF(H228="S",0.5,IF(H228="M",1,IF(H228="L",2,0)))</f>
        <v/>
      </c>
      <c r="J228" s="2" t="inlineStr">
        <is>
          <t>A</t>
        </is>
      </c>
      <c r="K228" s="2" t="inlineStr">
        <is>
          <t>frontend</t>
        </is>
      </c>
      <c r="L228" s="2" t="inlineStr">
        <is>
          <t>Assigned</t>
        </is>
      </c>
      <c r="M228" s="2" t="inlineStr">
        <is>
          <t>Nostidus4</t>
        </is>
      </c>
      <c r="N228" s="2" t="inlineStr">
        <is>
          <t>OPEN</t>
        </is>
      </c>
      <c r="O228" s="2" t="inlineStr">
        <is>
          <t>WEB-004, CHR-002</t>
        </is>
      </c>
      <c r="P228" s="2">
        <f>IF(O228="",0,SUMPRODUCT(--ISNUMBER(SEARCH(", "&amp;$A$2:$A$245&amp;",",", "&amp;O228&amp;",")),--($L$2:$L$245&lt;&gt;"Done")))</f>
        <v/>
      </c>
      <c r="Q228" s="3" t="inlineStr">
        <is>
          <t>open</t>
        </is>
      </c>
    </row>
    <row r="229">
      <c r="A229" s="2" t="inlineStr">
        <is>
          <t>WEB-011</t>
        </is>
      </c>
      <c r="B229" s="2" t="n">
        <v>217</v>
      </c>
      <c r="C229" s="2" t="inlineStr">
        <is>
          <t>[WEB] Build plan cards and the Why panel</t>
        </is>
      </c>
      <c r="D229" s="2" t="inlineStr">
        <is>
          <t>web</t>
        </is>
      </c>
      <c r="E229" s="2" t="inlineStr">
        <is>
          <t>[EPIC] M16 · Web Application</t>
        </is>
      </c>
      <c r="F229" s="2" t="inlineStr">
        <is>
          <t>P0</t>
        </is>
      </c>
      <c r="G229" s="2" t="inlineStr">
        <is>
          <t>M1</t>
        </is>
      </c>
      <c r="H229" s="2" t="inlineStr">
        <is>
          <t>M</t>
        </is>
      </c>
      <c r="I229" s="2">
        <f>IF(H229="S",0.5,IF(H229="M",1,IF(H229="L",2,0)))</f>
        <v/>
      </c>
      <c r="J229" s="2" t="inlineStr">
        <is>
          <t>A</t>
        </is>
      </c>
      <c r="K229" s="2" t="inlineStr">
        <is>
          <t>frontend</t>
        </is>
      </c>
      <c r="L229" s="2" t="inlineStr">
        <is>
          <t>Assigned</t>
        </is>
      </c>
      <c r="M229" s="2" t="inlineStr">
        <is>
          <t>Nostidus4</t>
        </is>
      </c>
      <c r="N229" s="2" t="inlineStr">
        <is>
          <t>OPEN</t>
        </is>
      </c>
      <c r="O229" s="2" t="inlineStr">
        <is>
          <t>WEB-010, EXE-004</t>
        </is>
      </c>
      <c r="P229" s="2">
        <f>IF(O229="",0,SUMPRODUCT(--ISNUMBER(SEARCH(", "&amp;$A$2:$A$245&amp;",",", "&amp;O229&amp;",")),--($L$2:$L$245&lt;&gt;"Done")))</f>
        <v/>
      </c>
      <c r="Q229" s="3" t="inlineStr">
        <is>
          <t>open</t>
        </is>
      </c>
    </row>
    <row r="230">
      <c r="A230" s="2" t="inlineStr">
        <is>
          <t>WEB-012</t>
        </is>
      </c>
      <c r="B230" s="2" t="n">
        <v>218</v>
      </c>
      <c r="C230" s="2" t="inlineStr">
        <is>
          <t>[WEB] Build the live execution timeline</t>
        </is>
      </c>
      <c r="D230" s="2" t="inlineStr">
        <is>
          <t>web</t>
        </is>
      </c>
      <c r="E230" s="2" t="inlineStr">
        <is>
          <t>[EPIC] M16 · Web Application</t>
        </is>
      </c>
      <c r="F230" s="2" t="inlineStr">
        <is>
          <t>P0</t>
        </is>
      </c>
      <c r="G230" s="2" t="inlineStr">
        <is>
          <t>M1</t>
        </is>
      </c>
      <c r="H230" s="2" t="inlineStr">
        <is>
          <t>M</t>
        </is>
      </c>
      <c r="I230" s="2">
        <f>IF(H230="S",0.5,IF(H230="M",1,IF(H230="L",2,0)))</f>
        <v/>
      </c>
      <c r="J230" s="2" t="inlineStr">
        <is>
          <t>A</t>
        </is>
      </c>
      <c r="K230" s="2" t="inlineStr">
        <is>
          <t>frontend</t>
        </is>
      </c>
      <c r="L230" s="2" t="inlineStr">
        <is>
          <t>Assigned</t>
        </is>
      </c>
      <c r="M230" s="2" t="inlineStr">
        <is>
          <t>Nostidus4</t>
        </is>
      </c>
      <c r="N230" s="2" t="inlineStr">
        <is>
          <t>OPEN</t>
        </is>
      </c>
      <c r="O230" s="2" t="inlineStr">
        <is>
          <t>WEB-011, NTF-002</t>
        </is>
      </c>
      <c r="P230" s="2">
        <f>IF(O230="",0,SUMPRODUCT(--ISNUMBER(SEARCH(", "&amp;$A$2:$A$245&amp;",",", "&amp;O230&amp;",")),--($L$2:$L$245&lt;&gt;"Done")))</f>
        <v/>
      </c>
      <c r="Q230" s="3" t="inlineStr">
        <is>
          <t>open</t>
        </is>
      </c>
    </row>
    <row r="231">
      <c r="A231" s="2" t="inlineStr">
        <is>
          <t>WEB-013</t>
        </is>
      </c>
      <c r="B231" s="2" t="n">
        <v>219</v>
      </c>
      <c r="C231" s="2" t="inlineStr">
        <is>
          <t>[WEB] Build the exception and review console</t>
        </is>
      </c>
      <c r="D231" s="2" t="inlineStr">
        <is>
          <t>web</t>
        </is>
      </c>
      <c r="E231" s="2" t="inlineStr">
        <is>
          <t>[EPIC] M16 · Web Application</t>
        </is>
      </c>
      <c r="F231" s="2" t="inlineStr">
        <is>
          <t>P0</t>
        </is>
      </c>
      <c r="G231" s="2" t="inlineStr">
        <is>
          <t>M1</t>
        </is>
      </c>
      <c r="H231" s="2" t="inlineStr">
        <is>
          <t>L</t>
        </is>
      </c>
      <c r="I231" s="2">
        <f>IF(H231="S",0.5,IF(H231="M",1,IF(H231="L",2,0)))</f>
        <v/>
      </c>
      <c r="J231" s="2" t="inlineStr">
        <is>
          <t>B</t>
        </is>
      </c>
      <c r="K231" s="2" t="inlineStr">
        <is>
          <t>frontend</t>
        </is>
      </c>
      <c r="L231" s="2" t="inlineStr">
        <is>
          <t>Assigned</t>
        </is>
      </c>
      <c r="M231" s="2" t="inlineStr">
        <is>
          <t>Nostidus4</t>
        </is>
      </c>
      <c r="N231" s="2" t="inlineStr">
        <is>
          <t>OPEN</t>
        </is>
      </c>
      <c r="O231" s="2" t="inlineStr">
        <is>
          <t>WEB-011, RCV-004, MDT-006, WEB-025</t>
        </is>
      </c>
      <c r="P231" s="2">
        <f>IF(O231="",0,SUMPRODUCT(--ISNUMBER(SEARCH(", "&amp;$A$2:$A$245&amp;",",", "&amp;O231&amp;",")),--($L$2:$L$245&lt;&gt;"Done")))</f>
        <v/>
      </c>
      <c r="Q231" s="3" t="inlineStr">
        <is>
          <t>open</t>
        </is>
      </c>
    </row>
    <row r="232">
      <c r="A232" s="2" t="inlineStr">
        <is>
          <t>WEB-014</t>
        </is>
      </c>
      <c r="B232" s="2" t="n">
        <v>220</v>
      </c>
      <c r="C232" s="2" t="inlineStr">
        <is>
          <t>[WEB] Build the reconciliation view and export</t>
        </is>
      </c>
      <c r="D232" s="2" t="inlineStr">
        <is>
          <t>web</t>
        </is>
      </c>
      <c r="E232" s="2" t="inlineStr">
        <is>
          <t>[EPIC] M16 · Web Application</t>
        </is>
      </c>
      <c r="F232" s="2" t="inlineStr">
        <is>
          <t>P0</t>
        </is>
      </c>
      <c r="G232" s="2" t="inlineStr">
        <is>
          <t>M1</t>
        </is>
      </c>
      <c r="H232" s="2" t="inlineStr">
        <is>
          <t>M</t>
        </is>
      </c>
      <c r="I232" s="2">
        <f>IF(H232="S",0.5,IF(H232="M",1,IF(H232="L",2,0)))</f>
        <v/>
      </c>
      <c r="J232" s="2" t="inlineStr">
        <is>
          <t>B</t>
        </is>
      </c>
      <c r="K232" s="2" t="inlineStr">
        <is>
          <t>frontend</t>
        </is>
      </c>
      <c r="L232" s="2" t="inlineStr">
        <is>
          <t>Assigned</t>
        </is>
      </c>
      <c r="M232" s="2" t="inlineStr">
        <is>
          <t>Nostidus4</t>
        </is>
      </c>
      <c r="N232" s="2" t="inlineStr">
        <is>
          <t>OPEN</t>
        </is>
      </c>
      <c r="O232" s="2" t="inlineStr">
        <is>
          <t>WEB-010, REC-004</t>
        </is>
      </c>
      <c r="P232" s="2">
        <f>IF(O232="",0,SUMPRODUCT(--ISNUMBER(SEARCH(", "&amp;$A$2:$A$245&amp;",",", "&amp;O232&amp;",")),--($L$2:$L$245&lt;&gt;"Done")))</f>
        <v/>
      </c>
      <c r="Q232" s="3" t="inlineStr">
        <is>
          <t>open</t>
        </is>
      </c>
    </row>
    <row r="233">
      <c r="A233" s="2" t="inlineStr">
        <is>
          <t>WEB-015</t>
        </is>
      </c>
      <c r="B233" s="2" t="n">
        <v>221</v>
      </c>
      <c r="C233" s="2" t="inlineStr">
        <is>
          <t>[WEB] Build the notifications center</t>
        </is>
      </c>
      <c r="D233" s="2" t="inlineStr">
        <is>
          <t>web</t>
        </is>
      </c>
      <c r="E233" s="2" t="inlineStr">
        <is>
          <t>[EPIC] M16 · Web Application</t>
        </is>
      </c>
      <c r="F233" s="2" t="inlineStr">
        <is>
          <t>P1</t>
        </is>
      </c>
      <c r="G233" s="2" t="inlineStr">
        <is>
          <t>M1</t>
        </is>
      </c>
      <c r="H233" s="2" t="inlineStr">
        <is>
          <t>S</t>
        </is>
      </c>
      <c r="I233" s="2">
        <f>IF(H233="S",0.5,IF(H233="M",1,IF(H233="L",2,0)))</f>
        <v/>
      </c>
      <c r="J233" s="2" t="inlineStr">
        <is>
          <t>After submission</t>
        </is>
      </c>
      <c r="K233" s="2" t="inlineStr">
        <is>
          <t>frontend</t>
        </is>
      </c>
      <c r="L233" s="2" t="inlineStr">
        <is>
          <t>Assigned</t>
        </is>
      </c>
      <c r="M233" s="2" t="inlineStr">
        <is>
          <t>Nostidus4</t>
        </is>
      </c>
      <c r="N233" s="2" t="inlineStr">
        <is>
          <t>OPEN</t>
        </is>
      </c>
      <c r="O233" s="2" t="inlineStr">
        <is>
          <t>WEB-001, NTF-002</t>
        </is>
      </c>
      <c r="P233" s="2">
        <f>IF(O233="",0,SUMPRODUCT(--ISNUMBER(SEARCH(", "&amp;$A$2:$A$245&amp;",",", "&amp;O233&amp;",")),--($L$2:$L$245&lt;&gt;"Done")))</f>
        <v/>
      </c>
      <c r="Q233" s="3" t="inlineStr">
        <is>
          <t>open</t>
        </is>
      </c>
    </row>
    <row r="234">
      <c r="A234" s="2" t="inlineStr">
        <is>
          <t>WEB-016</t>
        </is>
      </c>
      <c r="B234" s="2" t="n">
        <v>222</v>
      </c>
      <c r="C234" s="2" t="inlineStr">
        <is>
          <t>[WEB] Build the Copilot chat UI</t>
        </is>
      </c>
      <c r="D234" s="2" t="inlineStr">
        <is>
          <t>web</t>
        </is>
      </c>
      <c r="E234" s="2" t="inlineStr">
        <is>
          <t>[EPIC] M16 · Web Application</t>
        </is>
      </c>
      <c r="F234" s="2" t="inlineStr">
        <is>
          <t>P1</t>
        </is>
      </c>
      <c r="G234" s="2" t="inlineStr">
        <is>
          <t>M1</t>
        </is>
      </c>
      <c r="H234" s="2" t="inlineStr">
        <is>
          <t>M</t>
        </is>
      </c>
      <c r="I234" s="2">
        <f>IF(H234="S",0.5,IF(H234="M",1,IF(H234="L",2,0)))</f>
        <v/>
      </c>
      <c r="J234" s="2" t="inlineStr">
        <is>
          <t>After submission</t>
        </is>
      </c>
      <c r="K234" s="2" t="inlineStr">
        <is>
          <t>frontend</t>
        </is>
      </c>
      <c r="L234" s="2" t="inlineStr">
        <is>
          <t>Assigned</t>
        </is>
      </c>
      <c r="M234" s="2" t="inlineStr">
        <is>
          <t>Nostidus4</t>
        </is>
      </c>
      <c r="N234" s="2" t="inlineStr">
        <is>
          <t>OPEN</t>
        </is>
      </c>
      <c r="O234" s="2" t="inlineStr">
        <is>
          <t>WEB-010, AGT-012</t>
        </is>
      </c>
      <c r="P234" s="2">
        <f>IF(O234="",0,SUMPRODUCT(--ISNUMBER(SEARCH(", "&amp;$A$2:$A$245&amp;",",", "&amp;O234&amp;",")),--($L$2:$L$245&lt;&gt;"Done")))</f>
        <v/>
      </c>
      <c r="Q234" s="3" t="inlineStr">
        <is>
          <t>open</t>
        </is>
      </c>
    </row>
    <row r="235">
      <c r="A235" s="2" t="inlineStr">
        <is>
          <t>WEB-017</t>
        </is>
      </c>
      <c r="B235" s="2" t="n">
        <v>223</v>
      </c>
      <c r="C235" s="2" t="inlineStr">
        <is>
          <t>[WEB] Build members and roles administration</t>
        </is>
      </c>
      <c r="D235" s="2" t="inlineStr">
        <is>
          <t>web</t>
        </is>
      </c>
      <c r="E235" s="2" t="inlineStr">
        <is>
          <t>[EPIC] M16 · Web Application</t>
        </is>
      </c>
      <c r="F235" s="2" t="inlineStr">
        <is>
          <t>P1</t>
        </is>
      </c>
      <c r="G235" s="2" t="inlineStr">
        <is>
          <t>M1</t>
        </is>
      </c>
      <c r="H235" s="2" t="inlineStr">
        <is>
          <t>M</t>
        </is>
      </c>
      <c r="I235" s="2">
        <f>IF(H235="S",0.5,IF(H235="M",1,IF(H235="L",2,0)))</f>
        <v/>
      </c>
      <c r="J235" s="2" t="inlineStr">
        <is>
          <t>After submission</t>
        </is>
      </c>
      <c r="K235" s="2" t="inlineStr">
        <is>
          <t>frontend</t>
        </is>
      </c>
      <c r="L235" s="2" t="inlineStr">
        <is>
          <t>Assigned</t>
        </is>
      </c>
      <c r="M235" s="2" t="inlineStr">
        <is>
          <t>Nostidus4</t>
        </is>
      </c>
      <c r="N235" s="2" t="inlineStr">
        <is>
          <t>OPEN</t>
        </is>
      </c>
      <c r="O235" s="2" t="inlineStr">
        <is>
          <t>WEB-002, IDN-007</t>
        </is>
      </c>
      <c r="P235" s="2">
        <f>IF(O235="",0,SUMPRODUCT(--ISNUMBER(SEARCH(", "&amp;$A$2:$A$245&amp;",",", "&amp;O235&amp;",")),--($L$2:$L$245&lt;&gt;"Done")))</f>
        <v/>
      </c>
      <c r="Q235" s="3" t="inlineStr">
        <is>
          <t>open</t>
        </is>
      </c>
    </row>
    <row r="236">
      <c r="A236" s="2" t="inlineStr">
        <is>
          <t>WEB-018</t>
        </is>
      </c>
      <c r="B236" s="2" t="n">
        <v>224</v>
      </c>
      <c r="C236" s="2" t="inlineStr">
        <is>
          <t>[WEB] Build metrics and savings pages</t>
        </is>
      </c>
      <c r="D236" s="2" t="inlineStr">
        <is>
          <t>web</t>
        </is>
      </c>
      <c r="E236" s="2" t="inlineStr">
        <is>
          <t>[EPIC] M16 · Web Application</t>
        </is>
      </c>
      <c r="F236" s="2" t="inlineStr">
        <is>
          <t>P1</t>
        </is>
      </c>
      <c r="G236" s="2" t="inlineStr">
        <is>
          <t>M1</t>
        </is>
      </c>
      <c r="H236" s="2" t="inlineStr">
        <is>
          <t>M</t>
        </is>
      </c>
      <c r="I236" s="2">
        <f>IF(H236="S",0.5,IF(H236="M",1,IF(H236="L",2,0)))</f>
        <v/>
      </c>
      <c r="J236" s="2" t="inlineStr">
        <is>
          <t>After submission</t>
        </is>
      </c>
      <c r="K236" s="2" t="inlineStr">
        <is>
          <t>frontend</t>
        </is>
      </c>
      <c r="L236" s="2" t="inlineStr">
        <is>
          <t>Assigned</t>
        </is>
      </c>
      <c r="M236" s="2" t="inlineStr">
        <is>
          <t>Nostidus4</t>
        </is>
      </c>
      <c r="N236" s="2" t="inlineStr">
        <is>
          <t>OPEN</t>
        </is>
      </c>
      <c r="O236" s="2" t="inlineStr">
        <is>
          <t>WEB-010, OBS-005</t>
        </is>
      </c>
      <c r="P236" s="2">
        <f>IF(O236="",0,SUMPRODUCT(--ISNUMBER(SEARCH(", "&amp;$A$2:$A$245&amp;",",", "&amp;O236&amp;",")),--($L$2:$L$245&lt;&gt;"Done")))</f>
        <v/>
      </c>
      <c r="Q236" s="3" t="inlineStr">
        <is>
          <t>open</t>
        </is>
      </c>
    </row>
    <row r="237">
      <c r="A237" s="2" t="inlineStr">
        <is>
          <t>WEB-019</t>
        </is>
      </c>
      <c r="B237" s="2" t="n">
        <v>225</v>
      </c>
      <c r="C237" s="2" t="inlineStr">
        <is>
          <t>[WEB] Add pause and resume controls and status banners</t>
        </is>
      </c>
      <c r="D237" s="2" t="inlineStr">
        <is>
          <t>web</t>
        </is>
      </c>
      <c r="E237" s="2" t="inlineStr">
        <is>
          <t>[EPIC] M16 · Web Application</t>
        </is>
      </c>
      <c r="F237" s="2" t="inlineStr">
        <is>
          <t>P0</t>
        </is>
      </c>
      <c r="G237" s="2" t="inlineStr">
        <is>
          <t>M1</t>
        </is>
      </c>
      <c r="H237" s="2" t="inlineStr">
        <is>
          <t>S</t>
        </is>
      </c>
      <c r="I237" s="2">
        <f>IF(H237="S",0.5,IF(H237="M",1,IF(H237="L",2,0)))</f>
        <v/>
      </c>
      <c r="J237" s="2" t="inlineStr">
        <is>
          <t>B</t>
        </is>
      </c>
      <c r="K237" s="2" t="inlineStr">
        <is>
          <t>frontend</t>
        </is>
      </c>
      <c r="L237" s="2" t="inlineStr">
        <is>
          <t>Assigned</t>
        </is>
      </c>
      <c r="M237" s="2" t="inlineStr">
        <is>
          <t>Nostidus4</t>
        </is>
      </c>
      <c r="N237" s="2" t="inlineStr">
        <is>
          <t>OPEN</t>
        </is>
      </c>
      <c r="O237" s="2" t="inlineStr">
        <is>
          <t>WEB-010, MDT-007</t>
        </is>
      </c>
      <c r="P237" s="2">
        <f>IF(O237="",0,SUMPRODUCT(--ISNUMBER(SEARCH(", "&amp;$A$2:$A$245&amp;",",", "&amp;O237&amp;",")),--($L$2:$L$245&lt;&gt;"Done")))</f>
        <v/>
      </c>
      <c r="Q237" s="3" t="inlineStr">
        <is>
          <t>open</t>
        </is>
      </c>
    </row>
    <row r="238">
      <c r="A238" s="2" t="inlineStr">
        <is>
          <t>WEB-020</t>
        </is>
      </c>
      <c r="B238" s="2" t="n">
        <v>226</v>
      </c>
      <c r="C238" s="2" t="inlineStr">
        <is>
          <t>[WEB] Build the CSV import UI</t>
        </is>
      </c>
      <c r="D238" s="2" t="inlineStr">
        <is>
          <t>web</t>
        </is>
      </c>
      <c r="E238" s="2" t="inlineStr">
        <is>
          <t>[EPIC] M16 · Web Application</t>
        </is>
      </c>
      <c r="F238" s="2" t="inlineStr">
        <is>
          <t>P1</t>
        </is>
      </c>
      <c r="G238" s="2" t="inlineStr">
        <is>
          <t>M1</t>
        </is>
      </c>
      <c r="H238" s="2" t="inlineStr">
        <is>
          <t>S</t>
        </is>
      </c>
      <c r="I238" s="2">
        <f>IF(H238="S",0.5,IF(H238="M",1,IF(H238="L",2,0)))</f>
        <v/>
      </c>
      <c r="J238" s="2" t="inlineStr">
        <is>
          <t>After submission</t>
        </is>
      </c>
      <c r="K238" s="2" t="inlineStr">
        <is>
          <t>frontend</t>
        </is>
      </c>
      <c r="L238" s="2" t="inlineStr">
        <is>
          <t>Assigned</t>
        </is>
      </c>
      <c r="M238" s="2" t="inlineStr">
        <is>
          <t>Nostidus4</t>
        </is>
      </c>
      <c r="N238" s="2" t="inlineStr">
        <is>
          <t>OPEN</t>
        </is>
      </c>
      <c r="O238" s="2" t="inlineStr">
        <is>
          <t>WEB-007, INV-005</t>
        </is>
      </c>
      <c r="P238" s="2">
        <f>IF(O238="",0,SUMPRODUCT(--ISNUMBER(SEARCH(", "&amp;$A$2:$A$245&amp;",",", "&amp;O238&amp;",")),--($L$2:$L$245&lt;&gt;"Done")))</f>
        <v/>
      </c>
      <c r="Q238" s="3" t="inlineStr">
        <is>
          <t>open</t>
        </is>
      </c>
    </row>
    <row r="239">
      <c r="A239" s="2" t="inlineStr">
        <is>
          <t>WEB-021</t>
        </is>
      </c>
      <c r="B239" s="2" t="n">
        <v>227</v>
      </c>
      <c r="C239" s="2" t="inlineStr">
        <is>
          <t>[WEB] Build the runway forecast chart</t>
        </is>
      </c>
      <c r="D239" s="2" t="inlineStr">
        <is>
          <t>web</t>
        </is>
      </c>
      <c r="E239" s="2" t="inlineStr">
        <is>
          <t>[EPIC] M16 · Web Application</t>
        </is>
      </c>
      <c r="F239" s="2" t="inlineStr">
        <is>
          <t>P2</t>
        </is>
      </c>
      <c r="G239" s="2" t="inlineStr">
        <is>
          <t>M1</t>
        </is>
      </c>
      <c r="H239" s="2" t="inlineStr">
        <is>
          <t>S</t>
        </is>
      </c>
      <c r="I239" s="2">
        <f>IF(H239="S",0.5,IF(H239="M",1,IF(H239="L",2,0)))</f>
        <v/>
      </c>
      <c r="J239" s="2" t="inlineStr">
        <is>
          <t>After submission</t>
        </is>
      </c>
      <c r="K239" s="2" t="inlineStr">
        <is>
          <t>frontend</t>
        </is>
      </c>
      <c r="L239" s="2" t="inlineStr">
        <is>
          <t>Assigned</t>
        </is>
      </c>
      <c r="M239" s="2" t="inlineStr">
        <is>
          <t>Nostidus4</t>
        </is>
      </c>
      <c r="N239" s="2" t="inlineStr">
        <is>
          <t>OPEN</t>
        </is>
      </c>
      <c r="O239" s="2" t="inlineStr">
        <is>
          <t>WEB-010, ENG-011</t>
        </is>
      </c>
      <c r="P239" s="2">
        <f>IF(O239="",0,SUMPRODUCT(--ISNUMBER(SEARCH(", "&amp;$A$2:$A$245&amp;",",", "&amp;O239&amp;",")),--($L$2:$L$245&lt;&gt;"Done")))</f>
        <v/>
      </c>
      <c r="Q239" s="3" t="inlineStr">
        <is>
          <t>open</t>
        </is>
      </c>
    </row>
    <row r="240">
      <c r="A240" s="2" t="inlineStr">
        <is>
          <t>WEB-022</t>
        </is>
      </c>
      <c r="B240" s="2" t="n">
        <v>228</v>
      </c>
      <c r="C240" s="2" t="inlineStr">
        <is>
          <t>[WEB] Run the accessibility and responsive pass</t>
        </is>
      </c>
      <c r="D240" s="2" t="inlineStr">
        <is>
          <t>web</t>
        </is>
      </c>
      <c r="E240" s="2" t="inlineStr">
        <is>
          <t>[EPIC] M16 · Web Application</t>
        </is>
      </c>
      <c r="F240" s="2" t="inlineStr">
        <is>
          <t>P1</t>
        </is>
      </c>
      <c r="G240" s="2" t="inlineStr">
        <is>
          <t>M1</t>
        </is>
      </c>
      <c r="H240" s="2" t="inlineStr">
        <is>
          <t>S</t>
        </is>
      </c>
      <c r="I240" s="2">
        <f>IF(H240="S",0.5,IF(H240="M",1,IF(H240="L",2,0)))</f>
        <v/>
      </c>
      <c r="J240" s="2" t="inlineStr">
        <is>
          <t>After submission</t>
        </is>
      </c>
      <c r="K240" s="2" t="inlineStr">
        <is>
          <t>frontend</t>
        </is>
      </c>
      <c r="L240" s="2" t="inlineStr">
        <is>
          <t>Assigned</t>
        </is>
      </c>
      <c r="M240" s="2" t="inlineStr">
        <is>
          <t>Nostidus4</t>
        </is>
      </c>
      <c r="N240" s="2" t="inlineStr">
        <is>
          <t>OPEN</t>
        </is>
      </c>
      <c r="O240" s="2" t="inlineStr">
        <is>
          <t>WEB-014</t>
        </is>
      </c>
      <c r="P240" s="2">
        <f>IF(O240="",0,SUMPRODUCT(--ISNUMBER(SEARCH(", "&amp;$A$2:$A$245&amp;",",", "&amp;O240&amp;",")),--($L$2:$L$245&lt;&gt;"Done")))</f>
        <v/>
      </c>
      <c r="Q240" s="3" t="inlineStr">
        <is>
          <t>open</t>
        </is>
      </c>
    </row>
    <row r="241">
      <c r="A241" s="2" t="inlineStr">
        <is>
          <t>WEB-023</t>
        </is>
      </c>
      <c r="B241" s="2" t="n">
        <v>229</v>
      </c>
      <c r="C241" s="2" t="inlineStr">
        <is>
          <t>[WEB] Write the Playwright end-to-end happy path</t>
        </is>
      </c>
      <c r="D241" s="2" t="inlineStr">
        <is>
          <t>web</t>
        </is>
      </c>
      <c r="E241" s="2" t="inlineStr">
        <is>
          <t>[EPIC] M16 · Web Application</t>
        </is>
      </c>
      <c r="F241" s="2" t="inlineStr">
        <is>
          <t>P1</t>
        </is>
      </c>
      <c r="G241" s="2" t="inlineStr">
        <is>
          <t>M1</t>
        </is>
      </c>
      <c r="H241" s="2" t="inlineStr">
        <is>
          <t>M</t>
        </is>
      </c>
      <c r="I241" s="2">
        <f>IF(H241="S",0.5,IF(H241="M",1,IF(H241="L",2,0)))</f>
        <v/>
      </c>
      <c r="J241" s="2" t="inlineStr">
        <is>
          <t>After submission</t>
        </is>
      </c>
      <c r="K241" s="2" t="inlineStr">
        <is>
          <t>frontend</t>
        </is>
      </c>
      <c r="L241" s="2" t="inlineStr">
        <is>
          <t>Assigned</t>
        </is>
      </c>
      <c r="M241" s="2" t="inlineStr">
        <is>
          <t>Nostidus4</t>
        </is>
      </c>
      <c r="N241" s="2" t="inlineStr">
        <is>
          <t>OPEN</t>
        </is>
      </c>
      <c r="O241" s="2" t="inlineStr">
        <is>
          <t>WEB-012</t>
        </is>
      </c>
      <c r="P241" s="2">
        <f>IF(O241="",0,SUMPRODUCT(--ISNUMBER(SEARCH(", "&amp;$A$2:$A$245&amp;",",", "&amp;O241&amp;",")),--($L$2:$L$245&lt;&gt;"Done")))</f>
        <v/>
      </c>
      <c r="Q241" s="3" t="inlineStr">
        <is>
          <t>open</t>
        </is>
      </c>
    </row>
    <row r="242">
      <c r="A242" s="2" t="inlineStr">
        <is>
          <t>WEB-024</t>
        </is>
      </c>
      <c r="B242" s="2" t="n">
        <v>252</v>
      </c>
      <c r="C242" s="2" t="inlineStr">
        <is>
          <t>[WEB] Build the fee policy and fee acceptance UI</t>
        </is>
      </c>
      <c r="D242" s="2" t="inlineStr">
        <is>
          <t>web</t>
        </is>
      </c>
      <c r="E242" s="2" t="inlineStr">
        <is>
          <t>[EPIC] M16 · Web Application</t>
        </is>
      </c>
      <c r="F242" s="2" t="inlineStr">
        <is>
          <t>P1</t>
        </is>
      </c>
      <c r="G242" s="2" t="inlineStr">
        <is>
          <t>M1</t>
        </is>
      </c>
      <c r="H242" s="2" t="inlineStr">
        <is>
          <t>S</t>
        </is>
      </c>
      <c r="I242" s="2">
        <f>IF(H242="S",0.5,IF(H242="M",1,IF(H242="L",2,0)))</f>
        <v/>
      </c>
      <c r="J242" s="2" t="inlineStr">
        <is>
          <t>B</t>
        </is>
      </c>
      <c r="K242" s="2" t="inlineStr">
        <is>
          <t>frontend</t>
        </is>
      </c>
      <c r="L242" s="2" t="inlineStr">
        <is>
          <t>Assigned</t>
        </is>
      </c>
      <c r="M242" s="2" t="inlineStr">
        <is>
          <t>Nostidus4</t>
        </is>
      </c>
      <c r="N242" s="2" t="inlineStr">
        <is>
          <t>OPEN</t>
        </is>
      </c>
      <c r="O242" s="2" t="inlineStr">
        <is>
          <t>WEB-010, EXE-012</t>
        </is>
      </c>
      <c r="P242" s="2">
        <f>IF(O242="",0,SUMPRODUCT(--ISNUMBER(SEARCH(", "&amp;$A$2:$A$245&amp;",",", "&amp;O242&amp;",")),--($L$2:$L$245&lt;&gt;"Done")))</f>
        <v/>
      </c>
      <c r="Q242" s="3" t="inlineStr">
        <is>
          <t>open</t>
        </is>
      </c>
    </row>
    <row r="243">
      <c r="A243" s="2" t="inlineStr">
        <is>
          <t>WEB-025</t>
        </is>
      </c>
      <c r="B243" s="2" t="n">
        <v>250</v>
      </c>
      <c r="C243" s="2" t="inlineStr">
        <is>
          <t>[WEB] Build the governance signing inbox</t>
        </is>
      </c>
      <c r="D243" s="2" t="inlineStr">
        <is>
          <t>web</t>
        </is>
      </c>
      <c r="E243" s="2" t="inlineStr">
        <is>
          <t>[EPIC] M16 · Web Application</t>
        </is>
      </c>
      <c r="F243" s="2" t="inlineStr">
        <is>
          <t>P0</t>
        </is>
      </c>
      <c r="G243" s="2" t="inlineStr">
        <is>
          <t>M1</t>
        </is>
      </c>
      <c r="H243" s="2" t="inlineStr">
        <is>
          <t>M</t>
        </is>
      </c>
      <c r="I243" s="2">
        <f>IF(H243="S",0.5,IF(H243="M",1,IF(H243="L",2,0)))</f>
        <v/>
      </c>
      <c r="J243" s="2" t="inlineStr">
        <is>
          <t>A</t>
        </is>
      </c>
      <c r="K243" s="2" t="inlineStr">
        <is>
          <t>frontend</t>
        </is>
      </c>
      <c r="L243" s="2" t="inlineStr">
        <is>
          <t>Assigned</t>
        </is>
      </c>
      <c r="M243" s="2" t="inlineStr">
        <is>
          <t>Nostidus4</t>
        </is>
      </c>
      <c r="N243" s="2" t="inlineStr">
        <is>
          <t>OPEN</t>
        </is>
      </c>
      <c r="O243" s="2" t="inlineStr">
        <is>
          <t>WEB-003, MDT-009</t>
        </is>
      </c>
      <c r="P243" s="2">
        <f>IF(O243="",0,SUMPRODUCT(--ISNUMBER(SEARCH(", "&amp;$A$2:$A$245&amp;",",", "&amp;O243&amp;",")),--($L$2:$L$245&lt;&gt;"Done")))</f>
        <v/>
      </c>
      <c r="Q243" s="3" t="inlineStr">
        <is>
          <t>open</t>
        </is>
      </c>
    </row>
    <row r="244">
      <c r="A244" s="2" t="inlineStr">
        <is>
          <t>WEB-026</t>
        </is>
      </c>
      <c r="B244" s="2" t="n">
        <v>262</v>
      </c>
      <c r="C244" s="2" t="inlineStr">
        <is>
          <t>[WEB] Build the treasury position card</t>
        </is>
      </c>
      <c r="D244" s="2" t="inlineStr">
        <is>
          <t>web</t>
        </is>
      </c>
      <c r="E244" s="2" t="inlineStr">
        <is>
          <t>[EPIC] M16 · Web Application</t>
        </is>
      </c>
      <c r="F244" s="2" t="inlineStr">
        <is>
          <t>P0</t>
        </is>
      </c>
      <c r="G244" s="2" t="inlineStr">
        <is>
          <t>M1</t>
        </is>
      </c>
      <c r="H244" s="2" t="inlineStr">
        <is>
          <t>S</t>
        </is>
      </c>
      <c r="I244" s="2">
        <f>IF(H244="S",0.5,IF(H244="M",1,IF(H244="L",2,0)))</f>
        <v/>
      </c>
      <c r="J244" s="2" t="inlineStr">
        <is>
          <t>A</t>
        </is>
      </c>
      <c r="K244" s="2" t="inlineStr">
        <is>
          <t>frontend</t>
        </is>
      </c>
      <c r="L244" s="2" t="inlineStr">
        <is>
          <t>Assigned</t>
        </is>
      </c>
      <c r="M244" s="2" t="inlineStr">
        <is>
          <t>Nostidus4</t>
        </is>
      </c>
      <c r="N244" s="2" t="inlineStr">
        <is>
          <t>OPEN</t>
        </is>
      </c>
      <c r="O244" s="2" t="inlineStr">
        <is>
          <t>WEB-010</t>
        </is>
      </c>
      <c r="P244" s="2">
        <f>IF(O244="",0,SUMPRODUCT(--ISNUMBER(SEARCH(", "&amp;$A$2:$A$245&amp;",",", "&amp;O244&amp;",")),--($L$2:$L$245&lt;&gt;"Done")))</f>
        <v/>
      </c>
      <c r="Q244" s="3" t="inlineStr">
        <is>
          <t>open</t>
        </is>
      </c>
    </row>
    <row r="245">
      <c r="A245" s="2" t="inlineStr">
        <is>
          <t>WEB-027</t>
        </is>
      </c>
      <c r="B245" s="2" t="n">
        <v>263</v>
      </c>
      <c r="C245" s="2" t="inlineStr">
        <is>
          <t>[WEB] Build the borrow proposal view</t>
        </is>
      </c>
      <c r="D245" s="2" t="inlineStr">
        <is>
          <t>web</t>
        </is>
      </c>
      <c r="E245" s="2" t="inlineStr">
        <is>
          <t>[EPIC] M16 · Web Application</t>
        </is>
      </c>
      <c r="F245" s="2" t="inlineStr">
        <is>
          <t>P1</t>
        </is>
      </c>
      <c r="G245" s="2" t="inlineStr">
        <is>
          <t>M1</t>
        </is>
      </c>
      <c r="H245" s="2" t="inlineStr">
        <is>
          <t>S</t>
        </is>
      </c>
      <c r="I245" s="2">
        <f>IF(H245="S",0.5,IF(H245="M",1,IF(H245="L",2,0)))</f>
        <v/>
      </c>
      <c r="J245" s="2" t="inlineStr">
        <is>
          <t>B</t>
        </is>
      </c>
      <c r="K245" s="2" t="inlineStr">
        <is>
          <t>frontend</t>
        </is>
      </c>
      <c r="L245" s="2" t="inlineStr">
        <is>
          <t>Assigned</t>
        </is>
      </c>
      <c r="M245" s="2" t="inlineStr">
        <is>
          <t>Nostidus4</t>
        </is>
      </c>
      <c r="N245" s="2" t="inlineStr">
        <is>
          <t>OPEN</t>
        </is>
      </c>
      <c r="O245" s="2" t="inlineStr">
        <is>
          <t>WEB-026, ENG-014</t>
        </is>
      </c>
      <c r="P245" s="2">
        <f>IF(O245="",0,SUMPRODUCT(--ISNUMBER(SEARCH(", "&amp;$A$2:$A$245&amp;",",", "&amp;O245&amp;",")),--($L$2:$L$245&lt;&gt;"Done")))</f>
        <v/>
      </c>
      <c r="Q245" s="3" t="inlineStr">
        <is>
          <t>open</t>
        </is>
      </c>
    </row>
  </sheetData>
  <autoFilter ref="A1:Q245"/>
  <conditionalFormatting sqref="L2:L245">
    <cfRule type="cellIs" priority="1" operator="equal" dxfId="0">
      <formula>"Done"</formula>
    </cfRule>
    <cfRule type="cellIs" priority="2" operator="equal" dxfId="1">
      <formula>"In Progress"</formula>
    </cfRule>
  </conditionalFormatting>
  <conditionalFormatting sqref="P2:P245">
    <cfRule type="expression" priority="3" dxfId="2">
      <formula>AND(P2&gt;0,L2&lt;&gt;"Done")</formula>
    </cfRule>
  </conditionalFormatting>
  <dataValidations count="1">
    <dataValidation sqref="L2:L245" showDropDown="0" showInputMessage="0" showErrorMessage="0" allowBlank="1" type="list">
      <formula1>"Draft,Needs Discussion,Ready for Review,Accepted,Ready for Assignment,Assigned,In Progress,Review,Done"</formula1>
    </dataValidation>
  </dataValidations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  <hyperlink xmlns:r="http://schemas.openxmlformats.org/officeDocument/2006/relationships" ref="Q118" r:id="rId117"/>
    <hyperlink xmlns:r="http://schemas.openxmlformats.org/officeDocument/2006/relationships" ref="Q119" r:id="rId118"/>
    <hyperlink xmlns:r="http://schemas.openxmlformats.org/officeDocument/2006/relationships" ref="Q120" r:id="rId119"/>
    <hyperlink xmlns:r="http://schemas.openxmlformats.org/officeDocument/2006/relationships" ref="Q121" r:id="rId120"/>
    <hyperlink xmlns:r="http://schemas.openxmlformats.org/officeDocument/2006/relationships" ref="Q122" r:id="rId121"/>
    <hyperlink xmlns:r="http://schemas.openxmlformats.org/officeDocument/2006/relationships" ref="Q123" r:id="rId122"/>
    <hyperlink xmlns:r="http://schemas.openxmlformats.org/officeDocument/2006/relationships" ref="Q124" r:id="rId123"/>
    <hyperlink xmlns:r="http://schemas.openxmlformats.org/officeDocument/2006/relationships" ref="Q125" r:id="rId124"/>
    <hyperlink xmlns:r="http://schemas.openxmlformats.org/officeDocument/2006/relationships" ref="Q126" r:id="rId125"/>
    <hyperlink xmlns:r="http://schemas.openxmlformats.org/officeDocument/2006/relationships" ref="Q127" r:id="rId126"/>
    <hyperlink xmlns:r="http://schemas.openxmlformats.org/officeDocument/2006/relationships" ref="Q128" r:id="rId127"/>
    <hyperlink xmlns:r="http://schemas.openxmlformats.org/officeDocument/2006/relationships" ref="Q129" r:id="rId128"/>
    <hyperlink xmlns:r="http://schemas.openxmlformats.org/officeDocument/2006/relationships" ref="Q130" r:id="rId129"/>
    <hyperlink xmlns:r="http://schemas.openxmlformats.org/officeDocument/2006/relationships" ref="Q131" r:id="rId130"/>
    <hyperlink xmlns:r="http://schemas.openxmlformats.org/officeDocument/2006/relationships" ref="Q132" r:id="rId131"/>
    <hyperlink xmlns:r="http://schemas.openxmlformats.org/officeDocument/2006/relationships" ref="Q133" r:id="rId132"/>
    <hyperlink xmlns:r="http://schemas.openxmlformats.org/officeDocument/2006/relationships" ref="Q134" r:id="rId133"/>
    <hyperlink xmlns:r="http://schemas.openxmlformats.org/officeDocument/2006/relationships" ref="Q135" r:id="rId134"/>
    <hyperlink xmlns:r="http://schemas.openxmlformats.org/officeDocument/2006/relationships" ref="Q136" r:id="rId135"/>
    <hyperlink xmlns:r="http://schemas.openxmlformats.org/officeDocument/2006/relationships" ref="Q137" r:id="rId136"/>
    <hyperlink xmlns:r="http://schemas.openxmlformats.org/officeDocument/2006/relationships" ref="Q138" r:id="rId137"/>
    <hyperlink xmlns:r="http://schemas.openxmlformats.org/officeDocument/2006/relationships" ref="Q139" r:id="rId138"/>
    <hyperlink xmlns:r="http://schemas.openxmlformats.org/officeDocument/2006/relationships" ref="Q140" r:id="rId139"/>
    <hyperlink xmlns:r="http://schemas.openxmlformats.org/officeDocument/2006/relationships" ref="Q141" r:id="rId140"/>
    <hyperlink xmlns:r="http://schemas.openxmlformats.org/officeDocument/2006/relationships" ref="Q142" r:id="rId141"/>
    <hyperlink xmlns:r="http://schemas.openxmlformats.org/officeDocument/2006/relationships" ref="Q143" r:id="rId142"/>
    <hyperlink xmlns:r="http://schemas.openxmlformats.org/officeDocument/2006/relationships" ref="Q144" r:id="rId143"/>
    <hyperlink xmlns:r="http://schemas.openxmlformats.org/officeDocument/2006/relationships" ref="Q145" r:id="rId144"/>
    <hyperlink xmlns:r="http://schemas.openxmlformats.org/officeDocument/2006/relationships" ref="Q146" r:id="rId145"/>
    <hyperlink xmlns:r="http://schemas.openxmlformats.org/officeDocument/2006/relationships" ref="Q147" r:id="rId146"/>
    <hyperlink xmlns:r="http://schemas.openxmlformats.org/officeDocument/2006/relationships" ref="Q148" r:id="rId147"/>
    <hyperlink xmlns:r="http://schemas.openxmlformats.org/officeDocument/2006/relationships" ref="Q149" r:id="rId148"/>
    <hyperlink xmlns:r="http://schemas.openxmlformats.org/officeDocument/2006/relationships" ref="Q150" r:id="rId149"/>
    <hyperlink xmlns:r="http://schemas.openxmlformats.org/officeDocument/2006/relationships" ref="Q151" r:id="rId150"/>
    <hyperlink xmlns:r="http://schemas.openxmlformats.org/officeDocument/2006/relationships" ref="Q152" r:id="rId151"/>
    <hyperlink xmlns:r="http://schemas.openxmlformats.org/officeDocument/2006/relationships" ref="Q153" r:id="rId152"/>
    <hyperlink xmlns:r="http://schemas.openxmlformats.org/officeDocument/2006/relationships" ref="Q154" r:id="rId153"/>
    <hyperlink xmlns:r="http://schemas.openxmlformats.org/officeDocument/2006/relationships" ref="Q155" r:id="rId154"/>
    <hyperlink xmlns:r="http://schemas.openxmlformats.org/officeDocument/2006/relationships" ref="Q156" r:id="rId155"/>
    <hyperlink xmlns:r="http://schemas.openxmlformats.org/officeDocument/2006/relationships" ref="Q157" r:id="rId156"/>
    <hyperlink xmlns:r="http://schemas.openxmlformats.org/officeDocument/2006/relationships" ref="Q158" r:id="rId157"/>
    <hyperlink xmlns:r="http://schemas.openxmlformats.org/officeDocument/2006/relationships" ref="Q159" r:id="rId158"/>
    <hyperlink xmlns:r="http://schemas.openxmlformats.org/officeDocument/2006/relationships" ref="Q160" r:id="rId159"/>
    <hyperlink xmlns:r="http://schemas.openxmlformats.org/officeDocument/2006/relationships" ref="Q161" r:id="rId160"/>
    <hyperlink xmlns:r="http://schemas.openxmlformats.org/officeDocument/2006/relationships" ref="Q162" r:id="rId161"/>
    <hyperlink xmlns:r="http://schemas.openxmlformats.org/officeDocument/2006/relationships" ref="Q163" r:id="rId162"/>
    <hyperlink xmlns:r="http://schemas.openxmlformats.org/officeDocument/2006/relationships" ref="Q164" r:id="rId163"/>
    <hyperlink xmlns:r="http://schemas.openxmlformats.org/officeDocument/2006/relationships" ref="Q165" r:id="rId164"/>
    <hyperlink xmlns:r="http://schemas.openxmlformats.org/officeDocument/2006/relationships" ref="Q166" r:id="rId165"/>
    <hyperlink xmlns:r="http://schemas.openxmlformats.org/officeDocument/2006/relationships" ref="Q167" r:id="rId166"/>
    <hyperlink xmlns:r="http://schemas.openxmlformats.org/officeDocument/2006/relationships" ref="Q168" r:id="rId167"/>
    <hyperlink xmlns:r="http://schemas.openxmlformats.org/officeDocument/2006/relationships" ref="Q169" r:id="rId168"/>
    <hyperlink xmlns:r="http://schemas.openxmlformats.org/officeDocument/2006/relationships" ref="Q170" r:id="rId169"/>
    <hyperlink xmlns:r="http://schemas.openxmlformats.org/officeDocument/2006/relationships" ref="Q171" r:id="rId170"/>
    <hyperlink xmlns:r="http://schemas.openxmlformats.org/officeDocument/2006/relationships" ref="Q172" r:id="rId171"/>
    <hyperlink xmlns:r="http://schemas.openxmlformats.org/officeDocument/2006/relationships" ref="Q173" r:id="rId172"/>
    <hyperlink xmlns:r="http://schemas.openxmlformats.org/officeDocument/2006/relationships" ref="Q174" r:id="rId173"/>
    <hyperlink xmlns:r="http://schemas.openxmlformats.org/officeDocument/2006/relationships" ref="Q175" r:id="rId174"/>
    <hyperlink xmlns:r="http://schemas.openxmlformats.org/officeDocument/2006/relationships" ref="Q176" r:id="rId175"/>
    <hyperlink xmlns:r="http://schemas.openxmlformats.org/officeDocument/2006/relationships" ref="Q177" r:id="rId176"/>
    <hyperlink xmlns:r="http://schemas.openxmlformats.org/officeDocument/2006/relationships" ref="Q178" r:id="rId177"/>
    <hyperlink xmlns:r="http://schemas.openxmlformats.org/officeDocument/2006/relationships" ref="Q179" r:id="rId178"/>
    <hyperlink xmlns:r="http://schemas.openxmlformats.org/officeDocument/2006/relationships" ref="Q180" r:id="rId179"/>
    <hyperlink xmlns:r="http://schemas.openxmlformats.org/officeDocument/2006/relationships" ref="Q181" r:id="rId180"/>
    <hyperlink xmlns:r="http://schemas.openxmlformats.org/officeDocument/2006/relationships" ref="Q182" r:id="rId181"/>
    <hyperlink xmlns:r="http://schemas.openxmlformats.org/officeDocument/2006/relationships" ref="Q183" r:id="rId182"/>
    <hyperlink xmlns:r="http://schemas.openxmlformats.org/officeDocument/2006/relationships" ref="Q184" r:id="rId183"/>
    <hyperlink xmlns:r="http://schemas.openxmlformats.org/officeDocument/2006/relationships" ref="Q185" r:id="rId184"/>
    <hyperlink xmlns:r="http://schemas.openxmlformats.org/officeDocument/2006/relationships" ref="Q186" r:id="rId185"/>
    <hyperlink xmlns:r="http://schemas.openxmlformats.org/officeDocument/2006/relationships" ref="Q187" r:id="rId186"/>
    <hyperlink xmlns:r="http://schemas.openxmlformats.org/officeDocument/2006/relationships" ref="Q188" r:id="rId187"/>
    <hyperlink xmlns:r="http://schemas.openxmlformats.org/officeDocument/2006/relationships" ref="Q189" r:id="rId188"/>
    <hyperlink xmlns:r="http://schemas.openxmlformats.org/officeDocument/2006/relationships" ref="Q190" r:id="rId189"/>
    <hyperlink xmlns:r="http://schemas.openxmlformats.org/officeDocument/2006/relationships" ref="Q191" r:id="rId190"/>
    <hyperlink xmlns:r="http://schemas.openxmlformats.org/officeDocument/2006/relationships" ref="Q192" r:id="rId191"/>
    <hyperlink xmlns:r="http://schemas.openxmlformats.org/officeDocument/2006/relationships" ref="Q193" r:id="rId192"/>
    <hyperlink xmlns:r="http://schemas.openxmlformats.org/officeDocument/2006/relationships" ref="Q194" r:id="rId193"/>
    <hyperlink xmlns:r="http://schemas.openxmlformats.org/officeDocument/2006/relationships" ref="Q195" r:id="rId194"/>
    <hyperlink xmlns:r="http://schemas.openxmlformats.org/officeDocument/2006/relationships" ref="Q196" r:id="rId195"/>
    <hyperlink xmlns:r="http://schemas.openxmlformats.org/officeDocument/2006/relationships" ref="Q197" r:id="rId196"/>
    <hyperlink xmlns:r="http://schemas.openxmlformats.org/officeDocument/2006/relationships" ref="Q198" r:id="rId197"/>
    <hyperlink xmlns:r="http://schemas.openxmlformats.org/officeDocument/2006/relationships" ref="Q199" r:id="rId198"/>
    <hyperlink xmlns:r="http://schemas.openxmlformats.org/officeDocument/2006/relationships" ref="Q200" r:id="rId199"/>
    <hyperlink xmlns:r="http://schemas.openxmlformats.org/officeDocument/2006/relationships" ref="Q201" r:id="rId200"/>
    <hyperlink xmlns:r="http://schemas.openxmlformats.org/officeDocument/2006/relationships" ref="Q202" r:id="rId201"/>
    <hyperlink xmlns:r="http://schemas.openxmlformats.org/officeDocument/2006/relationships" ref="Q203" r:id="rId202"/>
    <hyperlink xmlns:r="http://schemas.openxmlformats.org/officeDocument/2006/relationships" ref="Q204" r:id="rId203"/>
    <hyperlink xmlns:r="http://schemas.openxmlformats.org/officeDocument/2006/relationships" ref="Q205" r:id="rId204"/>
    <hyperlink xmlns:r="http://schemas.openxmlformats.org/officeDocument/2006/relationships" ref="Q206" r:id="rId205"/>
    <hyperlink xmlns:r="http://schemas.openxmlformats.org/officeDocument/2006/relationships" ref="Q207" r:id="rId206"/>
    <hyperlink xmlns:r="http://schemas.openxmlformats.org/officeDocument/2006/relationships" ref="Q208" r:id="rId207"/>
    <hyperlink xmlns:r="http://schemas.openxmlformats.org/officeDocument/2006/relationships" ref="Q209" r:id="rId208"/>
    <hyperlink xmlns:r="http://schemas.openxmlformats.org/officeDocument/2006/relationships" ref="Q210" r:id="rId209"/>
    <hyperlink xmlns:r="http://schemas.openxmlformats.org/officeDocument/2006/relationships" ref="Q211" r:id="rId210"/>
    <hyperlink xmlns:r="http://schemas.openxmlformats.org/officeDocument/2006/relationships" ref="Q212" r:id="rId211"/>
    <hyperlink xmlns:r="http://schemas.openxmlformats.org/officeDocument/2006/relationships" ref="Q213" r:id="rId212"/>
    <hyperlink xmlns:r="http://schemas.openxmlformats.org/officeDocument/2006/relationships" ref="Q214" r:id="rId213"/>
    <hyperlink xmlns:r="http://schemas.openxmlformats.org/officeDocument/2006/relationships" ref="Q215" r:id="rId214"/>
    <hyperlink xmlns:r="http://schemas.openxmlformats.org/officeDocument/2006/relationships" ref="Q216" r:id="rId215"/>
    <hyperlink xmlns:r="http://schemas.openxmlformats.org/officeDocument/2006/relationships" ref="Q217" r:id="rId216"/>
    <hyperlink xmlns:r="http://schemas.openxmlformats.org/officeDocument/2006/relationships" ref="Q218" r:id="rId217"/>
    <hyperlink xmlns:r="http://schemas.openxmlformats.org/officeDocument/2006/relationships" ref="Q219" r:id="rId218"/>
    <hyperlink xmlns:r="http://schemas.openxmlformats.org/officeDocument/2006/relationships" ref="Q220" r:id="rId219"/>
    <hyperlink xmlns:r="http://schemas.openxmlformats.org/officeDocument/2006/relationships" ref="Q221" r:id="rId220"/>
    <hyperlink xmlns:r="http://schemas.openxmlformats.org/officeDocument/2006/relationships" ref="Q222" r:id="rId221"/>
    <hyperlink xmlns:r="http://schemas.openxmlformats.org/officeDocument/2006/relationships" ref="Q223" r:id="rId222"/>
    <hyperlink xmlns:r="http://schemas.openxmlformats.org/officeDocument/2006/relationships" ref="Q224" r:id="rId223"/>
    <hyperlink xmlns:r="http://schemas.openxmlformats.org/officeDocument/2006/relationships" ref="Q225" r:id="rId224"/>
    <hyperlink xmlns:r="http://schemas.openxmlformats.org/officeDocument/2006/relationships" ref="Q226" r:id="rId225"/>
    <hyperlink xmlns:r="http://schemas.openxmlformats.org/officeDocument/2006/relationships" ref="Q227" r:id="rId226"/>
    <hyperlink xmlns:r="http://schemas.openxmlformats.org/officeDocument/2006/relationships" ref="Q228" r:id="rId227"/>
    <hyperlink xmlns:r="http://schemas.openxmlformats.org/officeDocument/2006/relationships" ref="Q229" r:id="rId228"/>
    <hyperlink xmlns:r="http://schemas.openxmlformats.org/officeDocument/2006/relationships" ref="Q230" r:id="rId229"/>
    <hyperlink xmlns:r="http://schemas.openxmlformats.org/officeDocument/2006/relationships" ref="Q231" r:id="rId230"/>
    <hyperlink xmlns:r="http://schemas.openxmlformats.org/officeDocument/2006/relationships" ref="Q232" r:id="rId231"/>
    <hyperlink xmlns:r="http://schemas.openxmlformats.org/officeDocument/2006/relationships" ref="Q233" r:id="rId232"/>
    <hyperlink xmlns:r="http://schemas.openxmlformats.org/officeDocument/2006/relationships" ref="Q234" r:id="rId233"/>
    <hyperlink xmlns:r="http://schemas.openxmlformats.org/officeDocument/2006/relationships" ref="Q235" r:id="rId234"/>
    <hyperlink xmlns:r="http://schemas.openxmlformats.org/officeDocument/2006/relationships" ref="Q236" r:id="rId235"/>
    <hyperlink xmlns:r="http://schemas.openxmlformats.org/officeDocument/2006/relationships" ref="Q237" r:id="rId236"/>
    <hyperlink xmlns:r="http://schemas.openxmlformats.org/officeDocument/2006/relationships" ref="Q238" r:id="rId237"/>
    <hyperlink xmlns:r="http://schemas.openxmlformats.org/officeDocument/2006/relationships" ref="Q239" r:id="rId238"/>
    <hyperlink xmlns:r="http://schemas.openxmlformats.org/officeDocument/2006/relationships" ref="Q240" r:id="rId239"/>
    <hyperlink xmlns:r="http://schemas.openxmlformats.org/officeDocument/2006/relationships" ref="Q241" r:id="rId240"/>
    <hyperlink xmlns:r="http://schemas.openxmlformats.org/officeDocument/2006/relationships" ref="Q242" r:id="rId241"/>
    <hyperlink xmlns:r="http://schemas.openxmlformats.org/officeDocument/2006/relationships" ref="Q243" r:id="rId242"/>
    <hyperlink xmlns:r="http://schemas.openxmlformats.org/officeDocument/2006/relationships" ref="Q244" r:id="rId243"/>
    <hyperlink xmlns:r="http://schemas.openxmlformats.org/officeDocument/2006/relationships" ref="Q245" r:id="rId2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3" customWidth="1" min="4" max="4"/>
    <col width="10" customWidth="1" min="5" max="5"/>
    <col width="13" customWidth="1" min="6" max="6"/>
    <col width="16" customWidth="1" min="7" max="7"/>
    <col width="11" customWidth="1" min="8" max="8"/>
    <col width="16" customWidth="1" min="9" max="9"/>
    <col width="17" customWidth="1" min="10" max="10"/>
    <col width="15" customWidth="1" min="11" max="11"/>
    <col width="12" customWidth="1" min="12" max="12"/>
    <col width="14" customWidth="1" min="13" max="13"/>
  </cols>
  <sheetData>
    <row r="1">
      <c r="A1" s="1" t="inlineStr">
        <is>
          <t>Module</t>
        </is>
      </c>
      <c r="B1" s="1" t="inlineStr">
        <is>
          <t>Tickets</t>
        </is>
      </c>
      <c r="C1" s="1" t="inlineStr">
        <is>
          <t>Done</t>
        </is>
      </c>
      <c r="D1" s="1" t="inlineStr">
        <is>
          <t>In Progress</t>
        </is>
      </c>
      <c r="E1" s="1" t="inlineStr">
        <is>
          <t>Review</t>
        </is>
      </c>
      <c r="F1" s="1" t="inlineStr">
        <is>
          <t>Not started</t>
        </is>
      </c>
      <c r="G1" s="1" t="inlineStr">
        <is>
          <t>% done (count)</t>
        </is>
      </c>
      <c r="H1" s="1" t="inlineStr">
        <is>
          <t>Est. days</t>
        </is>
      </c>
      <c r="I1" s="1" t="inlineStr">
        <is>
          <t>Est. days done</t>
        </is>
      </c>
      <c r="J1" s="1" t="inlineStr">
        <is>
          <t>% done (effort)</t>
        </is>
      </c>
      <c r="K1" s="1" t="inlineStr">
        <is>
          <t>Cut A tickets</t>
        </is>
      </c>
      <c r="L1" s="1" t="inlineStr">
        <is>
          <t>Cut A done</t>
        </is>
      </c>
      <c r="M1" s="1" t="inlineStr">
        <is>
          <t>% Cut A done</t>
        </is>
      </c>
    </row>
    <row r="2">
      <c r="A2" s="2" t="inlineStr">
        <is>
          <t>admin</t>
        </is>
      </c>
      <c r="B2" s="2">
        <f>COUNTIFS(Issues!$D$2:$D$245,A2)</f>
        <v/>
      </c>
      <c r="C2" s="2">
        <f>COUNTIFS(Issues!$D$2:$D$245,A2,Issues!$L$2:$L$245,"Done")</f>
        <v/>
      </c>
      <c r="D2" s="2">
        <f>COUNTIFS(Issues!$D$2:$D$245,A2,Issues!$L$2:$L$245,"In Progress")</f>
        <v/>
      </c>
      <c r="E2" s="2">
        <f>COUNTIFS(Issues!$D$2:$D$245,A2,Issues!$L$2:$L$245,"Review")</f>
        <v/>
      </c>
      <c r="F2" s="2">
        <f>B2-C2-D2-E2</f>
        <v/>
      </c>
      <c r="G2" s="4">
        <f>IF(B2=0,0,C2/B2)</f>
        <v/>
      </c>
      <c r="H2" s="2">
        <f>SUMIFS(Issues!$I$2:$I$245,Issues!$D$2:$D$245,A2)</f>
        <v/>
      </c>
      <c r="I2" s="2">
        <f>SUMIFS(Issues!$I$2:$I$245,Issues!$D$2:$D$245,A2,Issues!$L$2:$L$245,"Done")</f>
        <v/>
      </c>
      <c r="J2" s="4">
        <f>IF(H2=0,0,I2/H2)</f>
        <v/>
      </c>
      <c r="K2" s="2">
        <f>COUNTIFS(Issues!$D$2:$D$245,A2,Issues!$J$2:$J$245,"A")</f>
        <v/>
      </c>
      <c r="L2" s="2">
        <f>COUNTIFS(Issues!$D$2:$D$245,A2,Issues!$J$2:$J$245,"A",Issues!$L$2:$L$245,"Done")</f>
        <v/>
      </c>
      <c r="M2" s="4">
        <f>IF(K2=0,0,L2/K2)</f>
        <v/>
      </c>
    </row>
    <row r="3">
      <c r="A3" s="2" t="inlineStr">
        <is>
          <t>agent</t>
        </is>
      </c>
      <c r="B3" s="2">
        <f>COUNTIFS(Issues!$D$2:$D$245,A3)</f>
        <v/>
      </c>
      <c r="C3" s="2">
        <f>COUNTIFS(Issues!$D$2:$D$245,A3,Issues!$L$2:$L$245,"Done")</f>
        <v/>
      </c>
      <c r="D3" s="2">
        <f>COUNTIFS(Issues!$D$2:$D$245,A3,Issues!$L$2:$L$245,"In Progress")</f>
        <v/>
      </c>
      <c r="E3" s="2">
        <f>COUNTIFS(Issues!$D$2:$D$245,A3,Issues!$L$2:$L$245,"Review")</f>
        <v/>
      </c>
      <c r="F3" s="2">
        <f>B3-C3-D3-E3</f>
        <v/>
      </c>
      <c r="G3" s="4">
        <f>IF(B3=0,0,C3/B3)</f>
        <v/>
      </c>
      <c r="H3" s="2">
        <f>SUMIFS(Issues!$I$2:$I$245,Issues!$D$2:$D$245,A3)</f>
        <v/>
      </c>
      <c r="I3" s="2">
        <f>SUMIFS(Issues!$I$2:$I$245,Issues!$D$2:$D$245,A3,Issues!$L$2:$L$245,"Done")</f>
        <v/>
      </c>
      <c r="J3" s="4">
        <f>IF(H3=0,0,I3/H3)</f>
        <v/>
      </c>
      <c r="K3" s="2">
        <f>COUNTIFS(Issues!$D$2:$D$245,A3,Issues!$J$2:$J$245,"A")</f>
        <v/>
      </c>
      <c r="L3" s="2">
        <f>COUNTIFS(Issues!$D$2:$D$245,A3,Issues!$J$2:$J$245,"A",Issues!$L$2:$L$245,"Done")</f>
        <v/>
      </c>
      <c r="M3" s="4">
        <f>IF(K3=0,0,L3/K3)</f>
        <v/>
      </c>
    </row>
    <row r="4">
      <c r="A4" s="2" t="inlineStr">
        <is>
          <t>audit</t>
        </is>
      </c>
      <c r="B4" s="2">
        <f>COUNTIFS(Issues!$D$2:$D$245,A4)</f>
        <v/>
      </c>
      <c r="C4" s="2">
        <f>COUNTIFS(Issues!$D$2:$D$245,A4,Issues!$L$2:$L$245,"Done")</f>
        <v/>
      </c>
      <c r="D4" s="2">
        <f>COUNTIFS(Issues!$D$2:$D$245,A4,Issues!$L$2:$L$245,"In Progress")</f>
        <v/>
      </c>
      <c r="E4" s="2">
        <f>COUNTIFS(Issues!$D$2:$D$245,A4,Issues!$L$2:$L$245,"Review")</f>
        <v/>
      </c>
      <c r="F4" s="2">
        <f>B4-C4-D4-E4</f>
        <v/>
      </c>
      <c r="G4" s="4">
        <f>IF(B4=0,0,C4/B4)</f>
        <v/>
      </c>
      <c r="H4" s="2">
        <f>SUMIFS(Issues!$I$2:$I$245,Issues!$D$2:$D$245,A4)</f>
        <v/>
      </c>
      <c r="I4" s="2">
        <f>SUMIFS(Issues!$I$2:$I$245,Issues!$D$2:$D$245,A4,Issues!$L$2:$L$245,"Done")</f>
        <v/>
      </c>
      <c r="J4" s="4">
        <f>IF(H4=0,0,I4/H4)</f>
        <v/>
      </c>
      <c r="K4" s="2">
        <f>COUNTIFS(Issues!$D$2:$D$245,A4,Issues!$J$2:$J$245,"A")</f>
        <v/>
      </c>
      <c r="L4" s="2">
        <f>COUNTIFS(Issues!$D$2:$D$245,A4,Issues!$J$2:$J$245,"A",Issues!$L$2:$L$245,"Done")</f>
        <v/>
      </c>
      <c r="M4" s="4">
        <f>IF(K4=0,0,L4/K4)</f>
        <v/>
      </c>
    </row>
    <row r="5">
      <c r="A5" s="2" t="inlineStr">
        <is>
          <t>chain-reader</t>
        </is>
      </c>
      <c r="B5" s="2">
        <f>COUNTIFS(Issues!$D$2:$D$245,A5)</f>
        <v/>
      </c>
      <c r="C5" s="2">
        <f>COUNTIFS(Issues!$D$2:$D$245,A5,Issues!$L$2:$L$245,"Done")</f>
        <v/>
      </c>
      <c r="D5" s="2">
        <f>COUNTIFS(Issues!$D$2:$D$245,A5,Issues!$L$2:$L$245,"In Progress")</f>
        <v/>
      </c>
      <c r="E5" s="2">
        <f>COUNTIFS(Issues!$D$2:$D$245,A5,Issues!$L$2:$L$245,"Review")</f>
        <v/>
      </c>
      <c r="F5" s="2">
        <f>B5-C5-D5-E5</f>
        <v/>
      </c>
      <c r="G5" s="4">
        <f>IF(B5=0,0,C5/B5)</f>
        <v/>
      </c>
      <c r="H5" s="2">
        <f>SUMIFS(Issues!$I$2:$I$245,Issues!$D$2:$D$245,A5)</f>
        <v/>
      </c>
      <c r="I5" s="2">
        <f>SUMIFS(Issues!$I$2:$I$245,Issues!$D$2:$D$245,A5,Issues!$L$2:$L$245,"Done")</f>
        <v/>
      </c>
      <c r="J5" s="4">
        <f>IF(H5=0,0,I5/H5)</f>
        <v/>
      </c>
      <c r="K5" s="2">
        <f>COUNTIFS(Issues!$D$2:$D$245,A5,Issues!$J$2:$J$245,"A")</f>
        <v/>
      </c>
      <c r="L5" s="2">
        <f>COUNTIFS(Issues!$D$2:$D$245,A5,Issues!$J$2:$J$245,"A",Issues!$L$2:$L$245,"Done")</f>
        <v/>
      </c>
      <c r="M5" s="4">
        <f>IF(K5=0,0,L5/K5)</f>
        <v/>
      </c>
    </row>
    <row r="6">
      <c r="A6" s="2" t="inlineStr">
        <is>
          <t>compliance</t>
        </is>
      </c>
      <c r="B6" s="2">
        <f>COUNTIFS(Issues!$D$2:$D$245,A6)</f>
        <v/>
      </c>
      <c r="C6" s="2">
        <f>COUNTIFS(Issues!$D$2:$D$245,A6,Issues!$L$2:$L$245,"Done")</f>
        <v/>
      </c>
      <c r="D6" s="2">
        <f>COUNTIFS(Issues!$D$2:$D$245,A6,Issues!$L$2:$L$245,"In Progress")</f>
        <v/>
      </c>
      <c r="E6" s="2">
        <f>COUNTIFS(Issues!$D$2:$D$245,A6,Issues!$L$2:$L$245,"Review")</f>
        <v/>
      </c>
      <c r="F6" s="2">
        <f>B6-C6-D6-E6</f>
        <v/>
      </c>
      <c r="G6" s="4">
        <f>IF(B6=0,0,C6/B6)</f>
        <v/>
      </c>
      <c r="H6" s="2">
        <f>SUMIFS(Issues!$I$2:$I$245,Issues!$D$2:$D$245,A6)</f>
        <v/>
      </c>
      <c r="I6" s="2">
        <f>SUMIFS(Issues!$I$2:$I$245,Issues!$D$2:$D$245,A6,Issues!$L$2:$L$245,"Done")</f>
        <v/>
      </c>
      <c r="J6" s="4">
        <f>IF(H6=0,0,I6/H6)</f>
        <v/>
      </c>
      <c r="K6" s="2">
        <f>COUNTIFS(Issues!$D$2:$D$245,A6,Issues!$J$2:$J$245,"A")</f>
        <v/>
      </c>
      <c r="L6" s="2">
        <f>COUNTIFS(Issues!$D$2:$D$245,A6,Issues!$J$2:$J$245,"A",Issues!$L$2:$L$245,"Done")</f>
        <v/>
      </c>
      <c r="M6" s="4">
        <f>IF(K6=0,0,L6/K6)</f>
        <v/>
      </c>
    </row>
    <row r="7">
      <c r="A7" s="2" t="inlineStr">
        <is>
          <t>contracts</t>
        </is>
      </c>
      <c r="B7" s="2">
        <f>COUNTIFS(Issues!$D$2:$D$245,A7)</f>
        <v/>
      </c>
      <c r="C7" s="2">
        <f>COUNTIFS(Issues!$D$2:$D$245,A7,Issues!$L$2:$L$245,"Done")</f>
        <v/>
      </c>
      <c r="D7" s="2">
        <f>COUNTIFS(Issues!$D$2:$D$245,A7,Issues!$L$2:$L$245,"In Progress")</f>
        <v/>
      </c>
      <c r="E7" s="2">
        <f>COUNTIFS(Issues!$D$2:$D$245,A7,Issues!$L$2:$L$245,"Review")</f>
        <v/>
      </c>
      <c r="F7" s="2">
        <f>B7-C7-D7-E7</f>
        <v/>
      </c>
      <c r="G7" s="4">
        <f>IF(B7=0,0,C7/B7)</f>
        <v/>
      </c>
      <c r="H7" s="2">
        <f>SUMIFS(Issues!$I$2:$I$245,Issues!$D$2:$D$245,A7)</f>
        <v/>
      </c>
      <c r="I7" s="2">
        <f>SUMIFS(Issues!$I$2:$I$245,Issues!$D$2:$D$245,A7,Issues!$L$2:$L$245,"Done")</f>
        <v/>
      </c>
      <c r="J7" s="4">
        <f>IF(H7=0,0,I7/H7)</f>
        <v/>
      </c>
      <c r="K7" s="2">
        <f>COUNTIFS(Issues!$D$2:$D$245,A7,Issues!$J$2:$J$245,"A")</f>
        <v/>
      </c>
      <c r="L7" s="2">
        <f>COUNTIFS(Issues!$D$2:$D$245,A7,Issues!$J$2:$J$245,"A",Issues!$L$2:$L$245,"Done")</f>
        <v/>
      </c>
      <c r="M7" s="4">
        <f>IF(K7=0,0,L7/K7)</f>
        <v/>
      </c>
    </row>
    <row r="8">
      <c r="A8" s="2" t="inlineStr">
        <is>
          <t>devex</t>
        </is>
      </c>
      <c r="B8" s="2">
        <f>COUNTIFS(Issues!$D$2:$D$245,A8)</f>
        <v/>
      </c>
      <c r="C8" s="2">
        <f>COUNTIFS(Issues!$D$2:$D$245,A8,Issues!$L$2:$L$245,"Done")</f>
        <v/>
      </c>
      <c r="D8" s="2">
        <f>COUNTIFS(Issues!$D$2:$D$245,A8,Issues!$L$2:$L$245,"In Progress")</f>
        <v/>
      </c>
      <c r="E8" s="2">
        <f>COUNTIFS(Issues!$D$2:$D$245,A8,Issues!$L$2:$L$245,"Review")</f>
        <v/>
      </c>
      <c r="F8" s="2">
        <f>B8-C8-D8-E8</f>
        <v/>
      </c>
      <c r="G8" s="4">
        <f>IF(B8=0,0,C8/B8)</f>
        <v/>
      </c>
      <c r="H8" s="2">
        <f>SUMIFS(Issues!$I$2:$I$245,Issues!$D$2:$D$245,A8)</f>
        <v/>
      </c>
      <c r="I8" s="2">
        <f>SUMIFS(Issues!$I$2:$I$245,Issues!$D$2:$D$245,A8,Issues!$L$2:$L$245,"Done")</f>
        <v/>
      </c>
      <c r="J8" s="4">
        <f>IF(H8=0,0,I8/H8)</f>
        <v/>
      </c>
      <c r="K8" s="2">
        <f>COUNTIFS(Issues!$D$2:$D$245,A8,Issues!$J$2:$J$245,"A")</f>
        <v/>
      </c>
      <c r="L8" s="2">
        <f>COUNTIFS(Issues!$D$2:$D$245,A8,Issues!$J$2:$J$245,"A",Issues!$L$2:$L$245,"Done")</f>
        <v/>
      </c>
      <c r="M8" s="4">
        <f>IF(K8=0,0,L8/K8)</f>
        <v/>
      </c>
    </row>
    <row r="9">
      <c r="A9" s="2" t="inlineStr">
        <is>
          <t>domain-evidence</t>
        </is>
      </c>
      <c r="B9" s="2">
        <f>COUNTIFS(Issues!$D$2:$D$245,A9)</f>
        <v/>
      </c>
      <c r="C9" s="2">
        <f>COUNTIFS(Issues!$D$2:$D$245,A9,Issues!$L$2:$L$245,"Done")</f>
        <v/>
      </c>
      <c r="D9" s="2">
        <f>COUNTIFS(Issues!$D$2:$D$245,A9,Issues!$L$2:$L$245,"In Progress")</f>
        <v/>
      </c>
      <c r="E9" s="2">
        <f>COUNTIFS(Issues!$D$2:$D$245,A9,Issues!$L$2:$L$245,"Review")</f>
        <v/>
      </c>
      <c r="F9" s="2">
        <f>B9-C9-D9-E9</f>
        <v/>
      </c>
      <c r="G9" s="4">
        <f>IF(B9=0,0,C9/B9)</f>
        <v/>
      </c>
      <c r="H9" s="2">
        <f>SUMIFS(Issues!$I$2:$I$245,Issues!$D$2:$D$245,A9)</f>
        <v/>
      </c>
      <c r="I9" s="2">
        <f>SUMIFS(Issues!$I$2:$I$245,Issues!$D$2:$D$245,A9,Issues!$L$2:$L$245,"Done")</f>
        <v/>
      </c>
      <c r="J9" s="4">
        <f>IF(H9=0,0,I9/H9)</f>
        <v/>
      </c>
      <c r="K9" s="2">
        <f>COUNTIFS(Issues!$D$2:$D$245,A9,Issues!$J$2:$J$245,"A")</f>
        <v/>
      </c>
      <c r="L9" s="2">
        <f>COUNTIFS(Issues!$D$2:$D$245,A9,Issues!$J$2:$J$245,"A",Issues!$L$2:$L$245,"Done")</f>
        <v/>
      </c>
      <c r="M9" s="4">
        <f>IF(K9=0,0,L9/K9)</f>
        <v/>
      </c>
    </row>
    <row r="10">
      <c r="A10" s="2" t="inlineStr">
        <is>
          <t>execution</t>
        </is>
      </c>
      <c r="B10" s="2">
        <f>COUNTIFS(Issues!$D$2:$D$245,A10)</f>
        <v/>
      </c>
      <c r="C10" s="2">
        <f>COUNTIFS(Issues!$D$2:$D$245,A10,Issues!$L$2:$L$245,"Done")</f>
        <v/>
      </c>
      <c r="D10" s="2">
        <f>COUNTIFS(Issues!$D$2:$D$245,A10,Issues!$L$2:$L$245,"In Progress")</f>
        <v/>
      </c>
      <c r="E10" s="2">
        <f>COUNTIFS(Issues!$D$2:$D$245,A10,Issues!$L$2:$L$245,"Review")</f>
        <v/>
      </c>
      <c r="F10" s="2">
        <f>B10-C10-D10-E10</f>
        <v/>
      </c>
      <c r="G10" s="4">
        <f>IF(B10=0,0,C10/B10)</f>
        <v/>
      </c>
      <c r="H10" s="2">
        <f>SUMIFS(Issues!$I$2:$I$245,Issues!$D$2:$D$245,A10)</f>
        <v/>
      </c>
      <c r="I10" s="2">
        <f>SUMIFS(Issues!$I$2:$I$245,Issues!$D$2:$D$245,A10,Issues!$L$2:$L$245,"Done")</f>
        <v/>
      </c>
      <c r="J10" s="4">
        <f>IF(H10=0,0,I10/H10)</f>
        <v/>
      </c>
      <c r="K10" s="2">
        <f>COUNTIFS(Issues!$D$2:$D$245,A10,Issues!$J$2:$J$245,"A")</f>
        <v/>
      </c>
      <c r="L10" s="2">
        <f>COUNTIFS(Issues!$D$2:$D$245,A10,Issues!$J$2:$J$245,"A",Issues!$L$2:$L$245,"Done")</f>
        <v/>
      </c>
      <c r="M10" s="4">
        <f>IF(K10=0,0,L10/K10)</f>
        <v/>
      </c>
    </row>
    <row r="11">
      <c r="A11" s="2" t="inlineStr">
        <is>
          <t>financial-engine</t>
        </is>
      </c>
      <c r="B11" s="2">
        <f>COUNTIFS(Issues!$D$2:$D$245,A11)</f>
        <v/>
      </c>
      <c r="C11" s="2">
        <f>COUNTIFS(Issues!$D$2:$D$245,A11,Issues!$L$2:$L$245,"Done")</f>
        <v/>
      </c>
      <c r="D11" s="2">
        <f>COUNTIFS(Issues!$D$2:$D$245,A11,Issues!$L$2:$L$245,"In Progress")</f>
        <v/>
      </c>
      <c r="E11" s="2">
        <f>COUNTIFS(Issues!$D$2:$D$245,A11,Issues!$L$2:$L$245,"Review")</f>
        <v/>
      </c>
      <c r="F11" s="2">
        <f>B11-C11-D11-E11</f>
        <v/>
      </c>
      <c r="G11" s="4">
        <f>IF(B11=0,0,C11/B11)</f>
        <v/>
      </c>
      <c r="H11" s="2">
        <f>SUMIFS(Issues!$I$2:$I$245,Issues!$D$2:$D$245,A11)</f>
        <v/>
      </c>
      <c r="I11" s="2">
        <f>SUMIFS(Issues!$I$2:$I$245,Issues!$D$2:$D$245,A11,Issues!$L$2:$L$245,"Done")</f>
        <v/>
      </c>
      <c r="J11" s="4">
        <f>IF(H11=0,0,I11/H11)</f>
        <v/>
      </c>
      <c r="K11" s="2">
        <f>COUNTIFS(Issues!$D$2:$D$245,A11,Issues!$J$2:$J$245,"A")</f>
        <v/>
      </c>
      <c r="L11" s="2">
        <f>COUNTIFS(Issues!$D$2:$D$245,A11,Issues!$J$2:$J$245,"A",Issues!$L$2:$L$245,"Done")</f>
        <v/>
      </c>
      <c r="M11" s="4">
        <f>IF(K11=0,0,L11/K11)</f>
        <v/>
      </c>
    </row>
    <row r="12">
      <c r="A12" s="2" t="inlineStr">
        <is>
          <t>identity</t>
        </is>
      </c>
      <c r="B12" s="2">
        <f>COUNTIFS(Issues!$D$2:$D$245,A12)</f>
        <v/>
      </c>
      <c r="C12" s="2">
        <f>COUNTIFS(Issues!$D$2:$D$245,A12,Issues!$L$2:$L$245,"Done")</f>
        <v/>
      </c>
      <c r="D12" s="2">
        <f>COUNTIFS(Issues!$D$2:$D$245,A12,Issues!$L$2:$L$245,"In Progress")</f>
        <v/>
      </c>
      <c r="E12" s="2">
        <f>COUNTIFS(Issues!$D$2:$D$245,A12,Issues!$L$2:$L$245,"Review")</f>
        <v/>
      </c>
      <c r="F12" s="2">
        <f>B12-C12-D12-E12</f>
        <v/>
      </c>
      <c r="G12" s="4">
        <f>IF(B12=0,0,C12/B12)</f>
        <v/>
      </c>
      <c r="H12" s="2">
        <f>SUMIFS(Issues!$I$2:$I$245,Issues!$D$2:$D$245,A12)</f>
        <v/>
      </c>
      <c r="I12" s="2">
        <f>SUMIFS(Issues!$I$2:$I$245,Issues!$D$2:$D$245,A12,Issues!$L$2:$L$245,"Done")</f>
        <v/>
      </c>
      <c r="J12" s="4">
        <f>IF(H12=0,0,I12/H12)</f>
        <v/>
      </c>
      <c r="K12" s="2">
        <f>COUNTIFS(Issues!$D$2:$D$245,A12,Issues!$J$2:$J$245,"A")</f>
        <v/>
      </c>
      <c r="L12" s="2">
        <f>COUNTIFS(Issues!$D$2:$D$245,A12,Issues!$J$2:$J$245,"A",Issues!$L$2:$L$245,"Done")</f>
        <v/>
      </c>
      <c r="M12" s="4">
        <f>IF(K12=0,0,L12/K12)</f>
        <v/>
      </c>
    </row>
    <row r="13">
      <c r="A13" s="2" t="inlineStr">
        <is>
          <t>invoices</t>
        </is>
      </c>
      <c r="B13" s="2">
        <f>COUNTIFS(Issues!$D$2:$D$245,A13)</f>
        <v/>
      </c>
      <c r="C13" s="2">
        <f>COUNTIFS(Issues!$D$2:$D$245,A13,Issues!$L$2:$L$245,"Done")</f>
        <v/>
      </c>
      <c r="D13" s="2">
        <f>COUNTIFS(Issues!$D$2:$D$245,A13,Issues!$L$2:$L$245,"In Progress")</f>
        <v/>
      </c>
      <c r="E13" s="2">
        <f>COUNTIFS(Issues!$D$2:$D$245,A13,Issues!$L$2:$L$245,"Review")</f>
        <v/>
      </c>
      <c r="F13" s="2">
        <f>B13-C13-D13-E13</f>
        <v/>
      </c>
      <c r="G13" s="4">
        <f>IF(B13=0,0,C13/B13)</f>
        <v/>
      </c>
      <c r="H13" s="2">
        <f>SUMIFS(Issues!$I$2:$I$245,Issues!$D$2:$D$245,A13)</f>
        <v/>
      </c>
      <c r="I13" s="2">
        <f>SUMIFS(Issues!$I$2:$I$245,Issues!$D$2:$D$245,A13,Issues!$L$2:$L$245,"Done")</f>
        <v/>
      </c>
      <c r="J13" s="4">
        <f>IF(H13=0,0,I13/H13)</f>
        <v/>
      </c>
      <c r="K13" s="2">
        <f>COUNTIFS(Issues!$D$2:$D$245,A13,Issues!$J$2:$J$245,"A")</f>
        <v/>
      </c>
      <c r="L13" s="2">
        <f>COUNTIFS(Issues!$D$2:$D$245,A13,Issues!$J$2:$J$245,"A",Issues!$L$2:$L$245,"Done")</f>
        <v/>
      </c>
      <c r="M13" s="4">
        <f>IF(K13=0,0,L13/K13)</f>
        <v/>
      </c>
    </row>
    <row r="14">
      <c r="A14" s="2" t="inlineStr">
        <is>
          <t>mandate</t>
        </is>
      </c>
      <c r="B14" s="2">
        <f>COUNTIFS(Issues!$D$2:$D$245,A14)</f>
        <v/>
      </c>
      <c r="C14" s="2">
        <f>COUNTIFS(Issues!$D$2:$D$245,A14,Issues!$L$2:$L$245,"Done")</f>
        <v/>
      </c>
      <c r="D14" s="2">
        <f>COUNTIFS(Issues!$D$2:$D$245,A14,Issues!$L$2:$L$245,"In Progress")</f>
        <v/>
      </c>
      <c r="E14" s="2">
        <f>COUNTIFS(Issues!$D$2:$D$245,A14,Issues!$L$2:$L$245,"Review")</f>
        <v/>
      </c>
      <c r="F14" s="2">
        <f>B14-C14-D14-E14</f>
        <v/>
      </c>
      <c r="G14" s="4">
        <f>IF(B14=0,0,C14/B14)</f>
        <v/>
      </c>
      <c r="H14" s="2">
        <f>SUMIFS(Issues!$I$2:$I$245,Issues!$D$2:$D$245,A14)</f>
        <v/>
      </c>
      <c r="I14" s="2">
        <f>SUMIFS(Issues!$I$2:$I$245,Issues!$D$2:$D$245,A14,Issues!$L$2:$L$245,"Done")</f>
        <v/>
      </c>
      <c r="J14" s="4">
        <f>IF(H14=0,0,I14/H14)</f>
        <v/>
      </c>
      <c r="K14" s="2">
        <f>COUNTIFS(Issues!$D$2:$D$245,A14,Issues!$J$2:$J$245,"A")</f>
        <v/>
      </c>
      <c r="L14" s="2">
        <f>COUNTIFS(Issues!$D$2:$D$245,A14,Issues!$J$2:$J$245,"A",Issues!$L$2:$L$245,"Done")</f>
        <v/>
      </c>
      <c r="M14" s="4">
        <f>IF(K14=0,0,L14/K14)</f>
        <v/>
      </c>
    </row>
    <row r="15">
      <c r="A15" s="2" t="inlineStr">
        <is>
          <t>notifications</t>
        </is>
      </c>
      <c r="B15" s="2">
        <f>COUNTIFS(Issues!$D$2:$D$245,A15)</f>
        <v/>
      </c>
      <c r="C15" s="2">
        <f>COUNTIFS(Issues!$D$2:$D$245,A15,Issues!$L$2:$L$245,"Done")</f>
        <v/>
      </c>
      <c r="D15" s="2">
        <f>COUNTIFS(Issues!$D$2:$D$245,A15,Issues!$L$2:$L$245,"In Progress")</f>
        <v/>
      </c>
      <c r="E15" s="2">
        <f>COUNTIFS(Issues!$D$2:$D$245,A15,Issues!$L$2:$L$245,"Review")</f>
        <v/>
      </c>
      <c r="F15" s="2">
        <f>B15-C15-D15-E15</f>
        <v/>
      </c>
      <c r="G15" s="4">
        <f>IF(B15=0,0,C15/B15)</f>
        <v/>
      </c>
      <c r="H15" s="2">
        <f>SUMIFS(Issues!$I$2:$I$245,Issues!$D$2:$D$245,A15)</f>
        <v/>
      </c>
      <c r="I15" s="2">
        <f>SUMIFS(Issues!$I$2:$I$245,Issues!$D$2:$D$245,A15,Issues!$L$2:$L$245,"Done")</f>
        <v/>
      </c>
      <c r="J15" s="4">
        <f>IF(H15=0,0,I15/H15)</f>
        <v/>
      </c>
      <c r="K15" s="2">
        <f>COUNTIFS(Issues!$D$2:$D$245,A15,Issues!$J$2:$J$245,"A")</f>
        <v/>
      </c>
      <c r="L15" s="2">
        <f>COUNTIFS(Issues!$D$2:$D$245,A15,Issues!$J$2:$J$245,"A",Issues!$L$2:$L$245,"Done")</f>
        <v/>
      </c>
      <c r="M15" s="4">
        <f>IF(K15=0,0,L15/K15)</f>
        <v/>
      </c>
    </row>
    <row r="16">
      <c r="A16" s="2" t="inlineStr">
        <is>
          <t>observability</t>
        </is>
      </c>
      <c r="B16" s="2">
        <f>COUNTIFS(Issues!$D$2:$D$245,A16)</f>
        <v/>
      </c>
      <c r="C16" s="2">
        <f>COUNTIFS(Issues!$D$2:$D$245,A16,Issues!$L$2:$L$245,"Done")</f>
        <v/>
      </c>
      <c r="D16" s="2">
        <f>COUNTIFS(Issues!$D$2:$D$245,A16,Issues!$L$2:$L$245,"In Progress")</f>
        <v/>
      </c>
      <c r="E16" s="2">
        <f>COUNTIFS(Issues!$D$2:$D$245,A16,Issues!$L$2:$L$245,"Review")</f>
        <v/>
      </c>
      <c r="F16" s="2">
        <f>B16-C16-D16-E16</f>
        <v/>
      </c>
      <c r="G16" s="4">
        <f>IF(B16=0,0,C16/B16)</f>
        <v/>
      </c>
      <c r="H16" s="2">
        <f>SUMIFS(Issues!$I$2:$I$245,Issues!$D$2:$D$245,A16)</f>
        <v/>
      </c>
      <c r="I16" s="2">
        <f>SUMIFS(Issues!$I$2:$I$245,Issues!$D$2:$D$245,A16,Issues!$L$2:$L$245,"Done")</f>
        <v/>
      </c>
      <c r="J16" s="4">
        <f>IF(H16=0,0,I16/H16)</f>
        <v/>
      </c>
      <c r="K16" s="2">
        <f>COUNTIFS(Issues!$D$2:$D$245,A16,Issues!$J$2:$J$245,"A")</f>
        <v/>
      </c>
      <c r="L16" s="2">
        <f>COUNTIFS(Issues!$D$2:$D$245,A16,Issues!$J$2:$J$245,"A",Issues!$L$2:$L$245,"Done")</f>
        <v/>
      </c>
      <c r="M16" s="4">
        <f>IF(K16=0,0,L16/K16)</f>
        <v/>
      </c>
    </row>
    <row r="17">
      <c r="A17" s="2" t="inlineStr">
        <is>
          <t>policy-engine</t>
        </is>
      </c>
      <c r="B17" s="2">
        <f>COUNTIFS(Issues!$D$2:$D$245,A17)</f>
        <v/>
      </c>
      <c r="C17" s="2">
        <f>COUNTIFS(Issues!$D$2:$D$245,A17,Issues!$L$2:$L$245,"Done")</f>
        <v/>
      </c>
      <c r="D17" s="2">
        <f>COUNTIFS(Issues!$D$2:$D$245,A17,Issues!$L$2:$L$245,"In Progress")</f>
        <v/>
      </c>
      <c r="E17" s="2">
        <f>COUNTIFS(Issues!$D$2:$D$245,A17,Issues!$L$2:$L$245,"Review")</f>
        <v/>
      </c>
      <c r="F17" s="2">
        <f>B17-C17-D17-E17</f>
        <v/>
      </c>
      <c r="G17" s="4">
        <f>IF(B17=0,0,C17/B17)</f>
        <v/>
      </c>
      <c r="H17" s="2">
        <f>SUMIFS(Issues!$I$2:$I$245,Issues!$D$2:$D$245,A17)</f>
        <v/>
      </c>
      <c r="I17" s="2">
        <f>SUMIFS(Issues!$I$2:$I$245,Issues!$D$2:$D$245,A17,Issues!$L$2:$L$245,"Done")</f>
        <v/>
      </c>
      <c r="J17" s="4">
        <f>IF(H17=0,0,I17/H17)</f>
        <v/>
      </c>
      <c r="K17" s="2">
        <f>COUNTIFS(Issues!$D$2:$D$245,A17,Issues!$J$2:$J$245,"A")</f>
        <v/>
      </c>
      <c r="L17" s="2">
        <f>COUNTIFS(Issues!$D$2:$D$245,A17,Issues!$J$2:$J$245,"A",Issues!$L$2:$L$245,"Done")</f>
        <v/>
      </c>
      <c r="M17" s="4">
        <f>IF(K17=0,0,L17/K17)</f>
        <v/>
      </c>
    </row>
    <row r="18">
      <c r="A18" s="2" t="inlineStr">
        <is>
          <t>reconciliation</t>
        </is>
      </c>
      <c r="B18" s="2">
        <f>COUNTIFS(Issues!$D$2:$D$245,A18)</f>
        <v/>
      </c>
      <c r="C18" s="2">
        <f>COUNTIFS(Issues!$D$2:$D$245,A18,Issues!$L$2:$L$245,"Done")</f>
        <v/>
      </c>
      <c r="D18" s="2">
        <f>COUNTIFS(Issues!$D$2:$D$245,A18,Issues!$L$2:$L$245,"In Progress")</f>
        <v/>
      </c>
      <c r="E18" s="2">
        <f>COUNTIFS(Issues!$D$2:$D$245,A18,Issues!$L$2:$L$245,"Review")</f>
        <v/>
      </c>
      <c r="F18" s="2">
        <f>B18-C18-D18-E18</f>
        <v/>
      </c>
      <c r="G18" s="4">
        <f>IF(B18=0,0,C18/B18)</f>
        <v/>
      </c>
      <c r="H18" s="2">
        <f>SUMIFS(Issues!$I$2:$I$245,Issues!$D$2:$D$245,A18)</f>
        <v/>
      </c>
      <c r="I18" s="2">
        <f>SUMIFS(Issues!$I$2:$I$245,Issues!$D$2:$D$245,A18,Issues!$L$2:$L$245,"Done")</f>
        <v/>
      </c>
      <c r="J18" s="4">
        <f>IF(H18=0,0,I18/H18)</f>
        <v/>
      </c>
      <c r="K18" s="2">
        <f>COUNTIFS(Issues!$D$2:$D$245,A18,Issues!$J$2:$J$245,"A")</f>
        <v/>
      </c>
      <c r="L18" s="2">
        <f>COUNTIFS(Issues!$D$2:$D$245,A18,Issues!$J$2:$J$245,"A",Issues!$L$2:$L$245,"Done")</f>
        <v/>
      </c>
      <c r="M18" s="4">
        <f>IF(K18=0,0,L18/K18)</f>
        <v/>
      </c>
    </row>
    <row r="19">
      <c r="A19" s="2" t="inlineStr">
        <is>
          <t>recovery</t>
        </is>
      </c>
      <c r="B19" s="2">
        <f>COUNTIFS(Issues!$D$2:$D$245,A19)</f>
        <v/>
      </c>
      <c r="C19" s="2">
        <f>COUNTIFS(Issues!$D$2:$D$245,A19,Issues!$L$2:$L$245,"Done")</f>
        <v/>
      </c>
      <c r="D19" s="2">
        <f>COUNTIFS(Issues!$D$2:$D$245,A19,Issues!$L$2:$L$245,"In Progress")</f>
        <v/>
      </c>
      <c r="E19" s="2">
        <f>COUNTIFS(Issues!$D$2:$D$245,A19,Issues!$L$2:$L$245,"Review")</f>
        <v/>
      </c>
      <c r="F19" s="2">
        <f>B19-C19-D19-E19</f>
        <v/>
      </c>
      <c r="G19" s="4">
        <f>IF(B19=0,0,C19/B19)</f>
        <v/>
      </c>
      <c r="H19" s="2">
        <f>SUMIFS(Issues!$I$2:$I$245,Issues!$D$2:$D$245,A19)</f>
        <v/>
      </c>
      <c r="I19" s="2">
        <f>SUMIFS(Issues!$I$2:$I$245,Issues!$D$2:$D$245,A19,Issues!$L$2:$L$245,"Done")</f>
        <v/>
      </c>
      <c r="J19" s="4">
        <f>IF(H19=0,0,I19/H19)</f>
        <v/>
      </c>
      <c r="K19" s="2">
        <f>COUNTIFS(Issues!$D$2:$D$245,A19,Issues!$J$2:$J$245,"A")</f>
        <v/>
      </c>
      <c r="L19" s="2">
        <f>COUNTIFS(Issues!$D$2:$D$245,A19,Issues!$J$2:$J$245,"A",Issues!$L$2:$L$245,"Done")</f>
        <v/>
      </c>
      <c r="M19" s="4">
        <f>IF(K19=0,0,L19/K19)</f>
        <v/>
      </c>
    </row>
    <row r="20">
      <c r="A20" s="2" t="inlineStr">
        <is>
          <t>treasury</t>
        </is>
      </c>
      <c r="B20" s="2">
        <f>COUNTIFS(Issues!$D$2:$D$245,A20)</f>
        <v/>
      </c>
      <c r="C20" s="2">
        <f>COUNTIFS(Issues!$D$2:$D$245,A20,Issues!$L$2:$L$245,"Done")</f>
        <v/>
      </c>
      <c r="D20" s="2">
        <f>COUNTIFS(Issues!$D$2:$D$245,A20,Issues!$L$2:$L$245,"In Progress")</f>
        <v/>
      </c>
      <c r="E20" s="2">
        <f>COUNTIFS(Issues!$D$2:$D$245,A20,Issues!$L$2:$L$245,"Review")</f>
        <v/>
      </c>
      <c r="F20" s="2">
        <f>B20-C20-D20-E20</f>
        <v/>
      </c>
      <c r="G20" s="4">
        <f>IF(B20=0,0,C20/B20)</f>
        <v/>
      </c>
      <c r="H20" s="2">
        <f>SUMIFS(Issues!$I$2:$I$245,Issues!$D$2:$D$245,A20)</f>
        <v/>
      </c>
      <c r="I20" s="2">
        <f>SUMIFS(Issues!$I$2:$I$245,Issues!$D$2:$D$245,A20,Issues!$L$2:$L$245,"Done")</f>
        <v/>
      </c>
      <c r="J20" s="4">
        <f>IF(H20=0,0,I20/H20)</f>
        <v/>
      </c>
      <c r="K20" s="2">
        <f>COUNTIFS(Issues!$D$2:$D$245,A20,Issues!$J$2:$J$245,"A")</f>
        <v/>
      </c>
      <c r="L20" s="2">
        <f>COUNTIFS(Issues!$D$2:$D$245,A20,Issues!$J$2:$J$245,"A",Issues!$L$2:$L$245,"Done")</f>
        <v/>
      </c>
      <c r="M20" s="4">
        <f>IF(K20=0,0,L20/K20)</f>
        <v/>
      </c>
    </row>
    <row r="21">
      <c r="A21" s="2" t="inlineStr">
        <is>
          <t>web</t>
        </is>
      </c>
      <c r="B21" s="2">
        <f>COUNTIFS(Issues!$D$2:$D$245,A21)</f>
        <v/>
      </c>
      <c r="C21" s="2">
        <f>COUNTIFS(Issues!$D$2:$D$245,A21,Issues!$L$2:$L$245,"Done")</f>
        <v/>
      </c>
      <c r="D21" s="2">
        <f>COUNTIFS(Issues!$D$2:$D$245,A21,Issues!$L$2:$L$245,"In Progress")</f>
        <v/>
      </c>
      <c r="E21" s="2">
        <f>COUNTIFS(Issues!$D$2:$D$245,A21,Issues!$L$2:$L$245,"Review")</f>
        <v/>
      </c>
      <c r="F21" s="2">
        <f>B21-C21-D21-E21</f>
        <v/>
      </c>
      <c r="G21" s="4">
        <f>IF(B21=0,0,C21/B21)</f>
        <v/>
      </c>
      <c r="H21" s="2">
        <f>SUMIFS(Issues!$I$2:$I$245,Issues!$D$2:$D$245,A21)</f>
        <v/>
      </c>
      <c r="I21" s="2">
        <f>SUMIFS(Issues!$I$2:$I$245,Issues!$D$2:$D$245,A21,Issues!$L$2:$L$245,"Done")</f>
        <v/>
      </c>
      <c r="J21" s="4">
        <f>IF(H21=0,0,I21/H21)</f>
        <v/>
      </c>
      <c r="K21" s="2">
        <f>COUNTIFS(Issues!$D$2:$D$245,A21,Issues!$J$2:$J$245,"A")</f>
        <v/>
      </c>
      <c r="L21" s="2">
        <f>COUNTIFS(Issues!$D$2:$D$245,A21,Issues!$J$2:$J$245,"A",Issues!$L$2:$L$245,"Done")</f>
        <v/>
      </c>
      <c r="M21" s="4">
        <f>IF(K21=0,0,L21/K21)</f>
        <v/>
      </c>
    </row>
    <row r="22">
      <c r="A22" s="5" t="inlineStr">
        <is>
          <t>TOTAL</t>
        </is>
      </c>
      <c r="B22" s="5">
        <f>SUM(B2:B21)</f>
        <v/>
      </c>
      <c r="C22" s="5">
        <f>SUM(C2:C21)</f>
        <v/>
      </c>
      <c r="D22" s="5">
        <f>SUM(D2:D21)</f>
        <v/>
      </c>
      <c r="E22" s="5">
        <f>SUM(E2:E21)</f>
        <v/>
      </c>
      <c r="F22" s="5">
        <f>SUM(F2:F21)</f>
        <v/>
      </c>
      <c r="G22" s="6">
        <f>IF(B22=0,0,C22/B22)</f>
        <v/>
      </c>
      <c r="H22" s="5">
        <f>SUM(H2:H21)</f>
        <v/>
      </c>
      <c r="I22" s="5">
        <f>SUM(I2:I21)</f>
        <v/>
      </c>
      <c r="J22" s="6">
        <f>IF(H22=0,0,I22/H22)</f>
        <v/>
      </c>
      <c r="K22" s="5">
        <f>SUM(K2:K21)</f>
        <v/>
      </c>
      <c r="L22" s="5">
        <f>SUM(L2:L21)</f>
        <v/>
      </c>
      <c r="M22" s="6">
        <f>IF(K22=0,0,L22/K22)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1" customWidth="1" min="3" max="3"/>
    <col width="47" customWidth="1" min="4" max="4"/>
    <col width="10" customWidth="1" min="5" max="5"/>
    <col width="10" customWidth="1" min="6" max="6"/>
  </cols>
  <sheetData>
    <row r="1">
      <c r="A1" s="1" t="inlineStr">
        <is>
          <t>Status</t>
        </is>
      </c>
      <c r="B1" s="1" t="inlineStr">
        <is>
          <t>All tickets</t>
        </is>
      </c>
      <c r="C1" s="1" t="inlineStr">
        <is>
          <t>Cut A</t>
        </is>
      </c>
      <c r="D1" s="1" t="inlineStr">
        <is>
          <t>Cut B</t>
        </is>
      </c>
      <c r="E1" s="1" t="inlineStr">
        <is>
          <t>M1</t>
        </is>
      </c>
      <c r="F1" s="1" t="inlineStr">
        <is>
          <t>Later</t>
        </is>
      </c>
    </row>
    <row r="2">
      <c r="A2" s="2" t="inlineStr">
        <is>
          <t>Draft</t>
        </is>
      </c>
      <c r="B2" s="2">
        <f>COUNTIFS(Issues!$L$2:$L$245,A2)</f>
        <v/>
      </c>
      <c r="C2" s="2">
        <f>COUNTIFS(Issues!$L$2:$L$245,A2,Issues!$J$2:$J$245,"A")</f>
        <v/>
      </c>
      <c r="D2" s="2">
        <f>COUNTIFS(Issues!$L$2:$L$245,A2,Issues!$J$2:$J$245,"B")</f>
        <v/>
      </c>
      <c r="E2" s="2">
        <f>COUNTIFS(Issues!$L$2:$L$245,A2,Issues!$G$2:$G$245,"M1")</f>
        <v/>
      </c>
      <c r="F2" s="2">
        <f>COUNTIFS(Issues!$L$2:$L$245,A2,Issues!$G$2:$G$245,"Later")</f>
        <v/>
      </c>
    </row>
    <row r="3">
      <c r="A3" s="2" t="inlineStr">
        <is>
          <t>Needs Discussion</t>
        </is>
      </c>
      <c r="B3" s="2">
        <f>COUNTIFS(Issues!$L$2:$L$245,A3)</f>
        <v/>
      </c>
      <c r="C3" s="2">
        <f>COUNTIFS(Issues!$L$2:$L$245,A3,Issues!$J$2:$J$245,"A")</f>
        <v/>
      </c>
      <c r="D3" s="2">
        <f>COUNTIFS(Issues!$L$2:$L$245,A3,Issues!$J$2:$J$245,"B")</f>
        <v/>
      </c>
      <c r="E3" s="2">
        <f>COUNTIFS(Issues!$L$2:$L$245,A3,Issues!$G$2:$G$245,"M1")</f>
        <v/>
      </c>
      <c r="F3" s="2">
        <f>COUNTIFS(Issues!$L$2:$L$245,A3,Issues!$G$2:$G$245,"Later")</f>
        <v/>
      </c>
    </row>
    <row r="4">
      <c r="A4" s="2" t="inlineStr">
        <is>
          <t>Ready for Review</t>
        </is>
      </c>
      <c r="B4" s="2">
        <f>COUNTIFS(Issues!$L$2:$L$245,A4)</f>
        <v/>
      </c>
      <c r="C4" s="2">
        <f>COUNTIFS(Issues!$L$2:$L$245,A4,Issues!$J$2:$J$245,"A")</f>
        <v/>
      </c>
      <c r="D4" s="2">
        <f>COUNTIFS(Issues!$L$2:$L$245,A4,Issues!$J$2:$J$245,"B")</f>
        <v/>
      </c>
      <c r="E4" s="2">
        <f>COUNTIFS(Issues!$L$2:$L$245,A4,Issues!$G$2:$G$245,"M1")</f>
        <v/>
      </c>
      <c r="F4" s="2">
        <f>COUNTIFS(Issues!$L$2:$L$245,A4,Issues!$G$2:$G$245,"Later")</f>
        <v/>
      </c>
    </row>
    <row r="5">
      <c r="A5" s="2" t="inlineStr">
        <is>
          <t>Accepted</t>
        </is>
      </c>
      <c r="B5" s="2">
        <f>COUNTIFS(Issues!$L$2:$L$245,A5)</f>
        <v/>
      </c>
      <c r="C5" s="2">
        <f>COUNTIFS(Issues!$L$2:$L$245,A5,Issues!$J$2:$J$245,"A")</f>
        <v/>
      </c>
      <c r="D5" s="2">
        <f>COUNTIFS(Issues!$L$2:$L$245,A5,Issues!$J$2:$J$245,"B")</f>
        <v/>
      </c>
      <c r="E5" s="2">
        <f>COUNTIFS(Issues!$L$2:$L$245,A5,Issues!$G$2:$G$245,"M1")</f>
        <v/>
      </c>
      <c r="F5" s="2">
        <f>COUNTIFS(Issues!$L$2:$L$245,A5,Issues!$G$2:$G$245,"Later")</f>
        <v/>
      </c>
    </row>
    <row r="6">
      <c r="A6" s="2" t="inlineStr">
        <is>
          <t>Ready for Assignment</t>
        </is>
      </c>
      <c r="B6" s="2">
        <f>COUNTIFS(Issues!$L$2:$L$245,A6)</f>
        <v/>
      </c>
      <c r="C6" s="2">
        <f>COUNTIFS(Issues!$L$2:$L$245,A6,Issues!$J$2:$J$245,"A")</f>
        <v/>
      </c>
      <c r="D6" s="2">
        <f>COUNTIFS(Issues!$L$2:$L$245,A6,Issues!$J$2:$J$245,"B")</f>
        <v/>
      </c>
      <c r="E6" s="2">
        <f>COUNTIFS(Issues!$L$2:$L$245,A6,Issues!$G$2:$G$245,"M1")</f>
        <v/>
      </c>
      <c r="F6" s="2">
        <f>COUNTIFS(Issues!$L$2:$L$245,A6,Issues!$G$2:$G$245,"Later")</f>
        <v/>
      </c>
    </row>
    <row r="7">
      <c r="A7" s="2" t="inlineStr">
        <is>
          <t>Assigned</t>
        </is>
      </c>
      <c r="B7" s="2">
        <f>COUNTIFS(Issues!$L$2:$L$245,A7)</f>
        <v/>
      </c>
      <c r="C7" s="2">
        <f>COUNTIFS(Issues!$L$2:$L$245,A7,Issues!$J$2:$J$245,"A")</f>
        <v/>
      </c>
      <c r="D7" s="2">
        <f>COUNTIFS(Issues!$L$2:$L$245,A7,Issues!$J$2:$J$245,"B")</f>
        <v/>
      </c>
      <c r="E7" s="2">
        <f>COUNTIFS(Issues!$L$2:$L$245,A7,Issues!$G$2:$G$245,"M1")</f>
        <v/>
      </c>
      <c r="F7" s="2">
        <f>COUNTIFS(Issues!$L$2:$L$245,A7,Issues!$G$2:$G$245,"Later")</f>
        <v/>
      </c>
    </row>
    <row r="8">
      <c r="A8" s="2" t="inlineStr">
        <is>
          <t>In Progress</t>
        </is>
      </c>
      <c r="B8" s="2">
        <f>COUNTIFS(Issues!$L$2:$L$245,A8)</f>
        <v/>
      </c>
      <c r="C8" s="2">
        <f>COUNTIFS(Issues!$L$2:$L$245,A8,Issues!$J$2:$J$245,"A")</f>
        <v/>
      </c>
      <c r="D8" s="2">
        <f>COUNTIFS(Issues!$L$2:$L$245,A8,Issues!$J$2:$J$245,"B")</f>
        <v/>
      </c>
      <c r="E8" s="2">
        <f>COUNTIFS(Issues!$L$2:$L$245,A8,Issues!$G$2:$G$245,"M1")</f>
        <v/>
      </c>
      <c r="F8" s="2">
        <f>COUNTIFS(Issues!$L$2:$L$245,A8,Issues!$G$2:$G$245,"Later")</f>
        <v/>
      </c>
    </row>
    <row r="9">
      <c r="A9" s="2" t="inlineStr">
        <is>
          <t>Review</t>
        </is>
      </c>
      <c r="B9" s="2">
        <f>COUNTIFS(Issues!$L$2:$L$245,A9)</f>
        <v/>
      </c>
      <c r="C9" s="2">
        <f>COUNTIFS(Issues!$L$2:$L$245,A9,Issues!$J$2:$J$245,"A")</f>
        <v/>
      </c>
      <c r="D9" s="2">
        <f>COUNTIFS(Issues!$L$2:$L$245,A9,Issues!$J$2:$J$245,"B")</f>
        <v/>
      </c>
      <c r="E9" s="2">
        <f>COUNTIFS(Issues!$L$2:$L$245,A9,Issues!$G$2:$G$245,"M1")</f>
        <v/>
      </c>
      <c r="F9" s="2">
        <f>COUNTIFS(Issues!$L$2:$L$245,A9,Issues!$G$2:$G$245,"Later")</f>
        <v/>
      </c>
    </row>
    <row r="10">
      <c r="A10" s="2" t="inlineStr">
        <is>
          <t>Done</t>
        </is>
      </c>
      <c r="B10" s="2">
        <f>COUNTIFS(Issues!$L$2:$L$245,A10)</f>
        <v/>
      </c>
      <c r="C10" s="2">
        <f>COUNTIFS(Issues!$L$2:$L$245,A10,Issues!$J$2:$J$245,"A")</f>
        <v/>
      </c>
      <c r="D10" s="2">
        <f>COUNTIFS(Issues!$L$2:$L$245,A10,Issues!$J$2:$J$245,"B")</f>
        <v/>
      </c>
      <c r="E10" s="2">
        <f>COUNTIFS(Issues!$L$2:$L$245,A10,Issues!$G$2:$G$245,"M1")</f>
        <v/>
      </c>
      <c r="F10" s="2">
        <f>COUNTIFS(Issues!$L$2:$L$245,A10,Issues!$G$2:$G$245,"Later")</f>
        <v/>
      </c>
    </row>
    <row r="11">
      <c r="A11" s="2" t="inlineStr">
        <is>
          <t>TOTAL</t>
        </is>
      </c>
      <c r="B11" s="2">
        <f>SUM(B2:B10)</f>
        <v/>
      </c>
      <c r="C11" s="2">
        <f>SUM(C2:C10)</f>
        <v/>
      </c>
      <c r="D11" s="2">
        <f>SUM(D2:D10)</f>
        <v/>
      </c>
      <c r="E11" s="2">
        <f>SUM(E2:E10)</f>
        <v/>
      </c>
      <c r="F11" s="2">
        <f>SUM(F2:F10)</f>
        <v/>
      </c>
    </row>
    <row r="12">
      <c r="A12" s="2" t="n"/>
      <c r="B12" s="2" t="n"/>
      <c r="C12" s="2" t="n"/>
      <c r="D12" s="2" t="n"/>
      <c r="E12" s="2" t="n"/>
      <c r="F12" s="2" t="n"/>
    </row>
    <row r="13">
      <c r="A13" s="2" t="inlineStr">
        <is>
          <t>Generated</t>
        </is>
      </c>
      <c r="B13" s="2" t="inlineStr">
        <is>
          <t>2026-10-11 19:03</t>
        </is>
      </c>
      <c r="C13" s="2" t="inlineStr">
        <is>
          <t>from GitHub Project</t>
        </is>
      </c>
      <c r="D13" s="2" t="inlineStr">
        <is>
          <t>https://github.com/users/Nostidus4/projects/1</t>
        </is>
      </c>
      <c r="E13" s="2" t="n"/>
      <c r="F1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15" customWidth="1" min="5" max="5"/>
  </cols>
  <sheetData>
    <row r="1">
      <c r="A1" s="1" t="inlineStr">
        <is>
          <t>Ticket</t>
        </is>
      </c>
      <c r="B1" s="1" t="inlineStr">
        <is>
          <t>Blocked by</t>
        </is>
      </c>
      <c r="C1" s="1" t="inlineStr">
        <is>
          <t>Ticket status</t>
        </is>
      </c>
      <c r="D1" s="1" t="inlineStr">
        <is>
          <t>Blocker status</t>
        </is>
      </c>
      <c r="E1" s="1" t="inlineStr">
        <is>
          <t>Blocking now?</t>
        </is>
      </c>
    </row>
    <row r="2">
      <c r="A2" s="2" t="inlineStr">
        <is>
          <t>ADM-L01</t>
        </is>
      </c>
      <c r="B2" s="2" t="inlineStr">
        <is>
          <t>IDN-006</t>
        </is>
      </c>
      <c r="C2" s="2">
        <f>IFERROR(INDEX(Issues!$L$2:$L$245,MATCH(A2,Issues!$A$2:$A$245,0)),"")</f>
        <v/>
      </c>
      <c r="D2" s="2">
        <f>IFERROR(INDEX(Issues!$L$2:$L$245,MATCH(B2,Issues!$A$2:$A$245,0)),"")</f>
        <v/>
      </c>
      <c r="E2" s="2">
        <f>IF(AND(C2&lt;&gt;"Done",D2&lt;&gt;"Done"),"Yes","No")</f>
        <v/>
      </c>
    </row>
    <row r="3">
      <c r="A3" s="2" t="inlineStr">
        <is>
          <t>ADM-L02</t>
        </is>
      </c>
      <c r="B3" s="2" t="inlineStr">
        <is>
          <t>OBS-004</t>
        </is>
      </c>
      <c r="C3" s="2">
        <f>IFERROR(INDEX(Issues!$L$2:$L$245,MATCH(A3,Issues!$A$2:$A$245,0)),"")</f>
        <v/>
      </c>
      <c r="D3" s="2">
        <f>IFERROR(INDEX(Issues!$L$2:$L$245,MATCH(B3,Issues!$A$2:$A$245,0)),"")</f>
        <v/>
      </c>
      <c r="E3" s="2">
        <f>IF(AND(C3&lt;&gt;"Done",D3&lt;&gt;"Done"),"Yes","No")</f>
        <v/>
      </c>
    </row>
    <row r="4">
      <c r="A4" s="2" t="inlineStr">
        <is>
          <t>ADM-L03</t>
        </is>
      </c>
      <c r="B4" s="2" t="inlineStr">
        <is>
          <t>ADM-L02</t>
        </is>
      </c>
      <c r="C4" s="2">
        <f>IFERROR(INDEX(Issues!$L$2:$L$245,MATCH(A4,Issues!$A$2:$A$245,0)),"")</f>
        <v/>
      </c>
      <c r="D4" s="2">
        <f>IFERROR(INDEX(Issues!$L$2:$L$245,MATCH(B4,Issues!$A$2:$A$245,0)),"")</f>
        <v/>
      </c>
      <c r="E4" s="2">
        <f>IF(AND(C4&lt;&gt;"Done",D4&lt;&gt;"Done"),"Yes","No")</f>
        <v/>
      </c>
    </row>
    <row r="5">
      <c r="A5" s="2" t="inlineStr">
        <is>
          <t>AGT-001</t>
        </is>
      </c>
      <c r="B5" s="2" t="inlineStr">
        <is>
          <t>EXE-002</t>
        </is>
      </c>
      <c r="C5" s="2">
        <f>IFERROR(INDEX(Issues!$L$2:$L$245,MATCH(A5,Issues!$A$2:$A$245,0)),"")</f>
        <v/>
      </c>
      <c r="D5" s="2">
        <f>IFERROR(INDEX(Issues!$L$2:$L$245,MATCH(B5,Issues!$A$2:$A$245,0)),"")</f>
        <v/>
      </c>
      <c r="E5" s="2">
        <f>IF(AND(C5&lt;&gt;"Done",D5&lt;&gt;"Done"),"Yes","No")</f>
        <v/>
      </c>
    </row>
    <row r="6">
      <c r="A6" s="2" t="inlineStr">
        <is>
          <t>AGT-002</t>
        </is>
      </c>
      <c r="B6" s="2" t="inlineStr">
        <is>
          <t>AGT-001</t>
        </is>
      </c>
      <c r="C6" s="2">
        <f>IFERROR(INDEX(Issues!$L$2:$L$245,MATCH(A6,Issues!$A$2:$A$245,0)),"")</f>
        <v/>
      </c>
      <c r="D6" s="2">
        <f>IFERROR(INDEX(Issues!$L$2:$L$245,MATCH(B6,Issues!$A$2:$A$245,0)),"")</f>
        <v/>
      </c>
      <c r="E6" s="2">
        <f>IF(AND(C6&lt;&gt;"Done",D6&lt;&gt;"Done"),"Yes","No")</f>
        <v/>
      </c>
    </row>
    <row r="7">
      <c r="A7" s="2" t="inlineStr">
        <is>
          <t>AGT-003</t>
        </is>
      </c>
      <c r="B7" s="2" t="inlineStr">
        <is>
          <t>AGT-001</t>
        </is>
      </c>
      <c r="C7" s="2">
        <f>IFERROR(INDEX(Issues!$L$2:$L$245,MATCH(A7,Issues!$A$2:$A$245,0)),"")</f>
        <v/>
      </c>
      <c r="D7" s="2">
        <f>IFERROR(INDEX(Issues!$L$2:$L$245,MATCH(B7,Issues!$A$2:$A$245,0)),"")</f>
        <v/>
      </c>
      <c r="E7" s="2">
        <f>IF(AND(C7&lt;&gt;"Done",D7&lt;&gt;"Done"),"Yes","No")</f>
        <v/>
      </c>
    </row>
    <row r="8">
      <c r="A8" s="2" t="inlineStr">
        <is>
          <t>AGT-004</t>
        </is>
      </c>
      <c r="B8" s="2" t="inlineStr">
        <is>
          <t>AGT-003</t>
        </is>
      </c>
      <c r="C8" s="2">
        <f>IFERROR(INDEX(Issues!$L$2:$L$245,MATCH(A8,Issues!$A$2:$A$245,0)),"")</f>
        <v/>
      </c>
      <c r="D8" s="2">
        <f>IFERROR(INDEX(Issues!$L$2:$L$245,MATCH(B8,Issues!$A$2:$A$245,0)),"")</f>
        <v/>
      </c>
      <c r="E8" s="2">
        <f>IF(AND(C8&lt;&gt;"Done",D8&lt;&gt;"Done"),"Yes","No")</f>
        <v/>
      </c>
    </row>
    <row r="9">
      <c r="A9" s="2" t="inlineStr">
        <is>
          <t>AGT-004</t>
        </is>
      </c>
      <c r="B9" s="2" t="inlineStr">
        <is>
          <t>AGT-002</t>
        </is>
      </c>
      <c r="C9" s="2">
        <f>IFERROR(INDEX(Issues!$L$2:$L$245,MATCH(A9,Issues!$A$2:$A$245,0)),"")</f>
        <v/>
      </c>
      <c r="D9" s="2">
        <f>IFERROR(INDEX(Issues!$L$2:$L$245,MATCH(B9,Issues!$A$2:$A$245,0)),"")</f>
        <v/>
      </c>
      <c r="E9" s="2">
        <f>IF(AND(C9&lt;&gt;"Done",D9&lt;&gt;"Done"),"Yes","No")</f>
        <v/>
      </c>
    </row>
    <row r="10">
      <c r="A10" s="2" t="inlineStr">
        <is>
          <t>AGT-004</t>
        </is>
      </c>
      <c r="B10" s="2" t="inlineStr">
        <is>
          <t>INV-004</t>
        </is>
      </c>
      <c r="C10" s="2">
        <f>IFERROR(INDEX(Issues!$L$2:$L$245,MATCH(A10,Issues!$A$2:$A$245,0)),"")</f>
        <v/>
      </c>
      <c r="D10" s="2">
        <f>IFERROR(INDEX(Issues!$L$2:$L$245,MATCH(B10,Issues!$A$2:$A$245,0)),"")</f>
        <v/>
      </c>
      <c r="E10" s="2">
        <f>IF(AND(C10&lt;&gt;"Done",D10&lt;&gt;"Done"),"Yes","No")</f>
        <v/>
      </c>
    </row>
    <row r="11">
      <c r="A11" s="2" t="inlineStr">
        <is>
          <t>AGT-005</t>
        </is>
      </c>
      <c r="B11" s="2" t="inlineStr">
        <is>
          <t>AGT-004</t>
        </is>
      </c>
      <c r="C11" s="2">
        <f>IFERROR(INDEX(Issues!$L$2:$L$245,MATCH(A11,Issues!$A$2:$A$245,0)),"")</f>
        <v/>
      </c>
      <c r="D11" s="2">
        <f>IFERROR(INDEX(Issues!$L$2:$L$245,MATCH(B11,Issues!$A$2:$A$245,0)),"")</f>
        <v/>
      </c>
      <c r="E11" s="2">
        <f>IF(AND(C11&lt;&gt;"Done",D11&lt;&gt;"Done"),"Yes","No")</f>
        <v/>
      </c>
    </row>
    <row r="12">
      <c r="A12" s="2" t="inlineStr">
        <is>
          <t>AGT-005</t>
        </is>
      </c>
      <c r="B12" s="2" t="inlineStr">
        <is>
          <t>ENG-005</t>
        </is>
      </c>
      <c r="C12" s="2">
        <f>IFERROR(INDEX(Issues!$L$2:$L$245,MATCH(A12,Issues!$A$2:$A$245,0)),"")</f>
        <v/>
      </c>
      <c r="D12" s="2">
        <f>IFERROR(INDEX(Issues!$L$2:$L$245,MATCH(B12,Issues!$A$2:$A$245,0)),"")</f>
        <v/>
      </c>
      <c r="E12" s="2">
        <f>IF(AND(C12&lt;&gt;"Done",D12&lt;&gt;"Done"),"Yes","No")</f>
        <v/>
      </c>
    </row>
    <row r="13">
      <c r="A13" s="2" t="inlineStr">
        <is>
          <t>AGT-006</t>
        </is>
      </c>
      <c r="B13" s="2" t="inlineStr">
        <is>
          <t>AGT-004</t>
        </is>
      </c>
      <c r="C13" s="2">
        <f>IFERROR(INDEX(Issues!$L$2:$L$245,MATCH(A13,Issues!$A$2:$A$245,0)),"")</f>
        <v/>
      </c>
      <c r="D13" s="2">
        <f>IFERROR(INDEX(Issues!$L$2:$L$245,MATCH(B13,Issues!$A$2:$A$245,0)),"")</f>
        <v/>
      </c>
      <c r="E13" s="2">
        <f>IF(AND(C13&lt;&gt;"Done",D13&lt;&gt;"Done"),"Yes","No")</f>
        <v/>
      </c>
    </row>
    <row r="14">
      <c r="A14" s="2" t="inlineStr">
        <is>
          <t>AGT-007</t>
        </is>
      </c>
      <c r="B14" s="2" t="inlineStr">
        <is>
          <t>CHR-002</t>
        </is>
      </c>
      <c r="C14" s="2">
        <f>IFERROR(INDEX(Issues!$L$2:$L$245,MATCH(A14,Issues!$A$2:$A$245,0)),"")</f>
        <v/>
      </c>
      <c r="D14" s="2">
        <f>IFERROR(INDEX(Issues!$L$2:$L$245,MATCH(B14,Issues!$A$2:$A$245,0)),"")</f>
        <v/>
      </c>
      <c r="E14" s="2">
        <f>IF(AND(C14&lt;&gt;"Done",D14&lt;&gt;"Done"),"Yes","No")</f>
        <v/>
      </c>
    </row>
    <row r="15">
      <c r="A15" s="2" t="inlineStr">
        <is>
          <t>AGT-007</t>
        </is>
      </c>
      <c r="B15" s="2" t="inlineStr">
        <is>
          <t>ENG-008</t>
        </is>
      </c>
      <c r="C15" s="2">
        <f>IFERROR(INDEX(Issues!$L$2:$L$245,MATCH(A15,Issues!$A$2:$A$245,0)),"")</f>
        <v/>
      </c>
      <c r="D15" s="2">
        <f>IFERROR(INDEX(Issues!$L$2:$L$245,MATCH(B15,Issues!$A$2:$A$245,0)),"")</f>
        <v/>
      </c>
      <c r="E15" s="2">
        <f>IF(AND(C15&lt;&gt;"Done",D15&lt;&gt;"Done"),"Yes","No")</f>
        <v/>
      </c>
    </row>
    <row r="16">
      <c r="A16" s="2" t="inlineStr">
        <is>
          <t>AGT-007</t>
        </is>
      </c>
      <c r="B16" s="2" t="inlineStr">
        <is>
          <t>POL-003</t>
        </is>
      </c>
      <c r="C16" s="2">
        <f>IFERROR(INDEX(Issues!$L$2:$L$245,MATCH(A16,Issues!$A$2:$A$245,0)),"")</f>
        <v/>
      </c>
      <c r="D16" s="2">
        <f>IFERROR(INDEX(Issues!$L$2:$L$245,MATCH(B16,Issues!$A$2:$A$245,0)),"")</f>
        <v/>
      </c>
      <c r="E16" s="2">
        <f>IF(AND(C16&lt;&gt;"Done",D16&lt;&gt;"Done"),"Yes","No")</f>
        <v/>
      </c>
    </row>
    <row r="17">
      <c r="A17" s="2" t="inlineStr">
        <is>
          <t>AGT-008</t>
        </is>
      </c>
      <c r="B17" s="2" t="inlineStr">
        <is>
          <t>AGT-007</t>
        </is>
      </c>
      <c r="C17" s="2">
        <f>IFERROR(INDEX(Issues!$L$2:$L$245,MATCH(A17,Issues!$A$2:$A$245,0)),"")</f>
        <v/>
      </c>
      <c r="D17" s="2">
        <f>IFERROR(INDEX(Issues!$L$2:$L$245,MATCH(B17,Issues!$A$2:$A$245,0)),"")</f>
        <v/>
      </c>
      <c r="E17" s="2">
        <f>IF(AND(C17&lt;&gt;"Done",D17&lt;&gt;"Done"),"Yes","No")</f>
        <v/>
      </c>
    </row>
    <row r="18">
      <c r="A18" s="2" t="inlineStr">
        <is>
          <t>AGT-009</t>
        </is>
      </c>
      <c r="B18" s="2" t="inlineStr">
        <is>
          <t>AGT-008</t>
        </is>
      </c>
      <c r="C18" s="2">
        <f>IFERROR(INDEX(Issues!$L$2:$L$245,MATCH(A18,Issues!$A$2:$A$245,0)),"")</f>
        <v/>
      </c>
      <c r="D18" s="2">
        <f>IFERROR(INDEX(Issues!$L$2:$L$245,MATCH(B18,Issues!$A$2:$A$245,0)),"")</f>
        <v/>
      </c>
      <c r="E18" s="2">
        <f>IF(AND(C18&lt;&gt;"Done",D18&lt;&gt;"Done"),"Yes","No")</f>
        <v/>
      </c>
    </row>
    <row r="19">
      <c r="A19" s="2" t="inlineStr">
        <is>
          <t>AGT-009</t>
        </is>
      </c>
      <c r="B19" s="2" t="inlineStr">
        <is>
          <t>ENG-008</t>
        </is>
      </c>
      <c r="C19" s="2">
        <f>IFERROR(INDEX(Issues!$L$2:$L$245,MATCH(A19,Issues!$A$2:$A$245,0)),"")</f>
        <v/>
      </c>
      <c r="D19" s="2">
        <f>IFERROR(INDEX(Issues!$L$2:$L$245,MATCH(B19,Issues!$A$2:$A$245,0)),"")</f>
        <v/>
      </c>
      <c r="E19" s="2">
        <f>IF(AND(C19&lt;&gt;"Done",D19&lt;&gt;"Done"),"Yes","No")</f>
        <v/>
      </c>
    </row>
    <row r="20">
      <c r="A20" s="2" t="inlineStr">
        <is>
          <t>AGT-010</t>
        </is>
      </c>
      <c r="B20" s="2" t="inlineStr">
        <is>
          <t>ENG-007</t>
        </is>
      </c>
      <c r="C20" s="2">
        <f>IFERROR(INDEX(Issues!$L$2:$L$245,MATCH(A20,Issues!$A$2:$A$245,0)),"")</f>
        <v/>
      </c>
      <c r="D20" s="2">
        <f>IFERROR(INDEX(Issues!$L$2:$L$245,MATCH(B20,Issues!$A$2:$A$245,0)),"")</f>
        <v/>
      </c>
      <c r="E20" s="2">
        <f>IF(AND(C20&lt;&gt;"Done",D20&lt;&gt;"Done"),"Yes","No")</f>
        <v/>
      </c>
    </row>
    <row r="21">
      <c r="A21" s="2" t="inlineStr">
        <is>
          <t>AGT-010</t>
        </is>
      </c>
      <c r="B21" s="2" t="inlineStr">
        <is>
          <t>POL-003</t>
        </is>
      </c>
      <c r="C21" s="2">
        <f>IFERROR(INDEX(Issues!$L$2:$L$245,MATCH(A21,Issues!$A$2:$A$245,0)),"")</f>
        <v/>
      </c>
      <c r="D21" s="2">
        <f>IFERROR(INDEX(Issues!$L$2:$L$245,MATCH(B21,Issues!$A$2:$A$245,0)),"")</f>
        <v/>
      </c>
      <c r="E21" s="2">
        <f>IF(AND(C21&lt;&gt;"Done",D21&lt;&gt;"Done"),"Yes","No")</f>
        <v/>
      </c>
    </row>
    <row r="22">
      <c r="A22" s="2" t="inlineStr">
        <is>
          <t>AGT-011</t>
        </is>
      </c>
      <c r="B22" s="2" t="inlineStr">
        <is>
          <t>AGT-001</t>
        </is>
      </c>
      <c r="C22" s="2">
        <f>IFERROR(INDEX(Issues!$L$2:$L$245,MATCH(A22,Issues!$A$2:$A$245,0)),"")</f>
        <v/>
      </c>
      <c r="D22" s="2">
        <f>IFERROR(INDEX(Issues!$L$2:$L$245,MATCH(B22,Issues!$A$2:$A$245,0)),"")</f>
        <v/>
      </c>
      <c r="E22" s="2">
        <f>IF(AND(C22&lt;&gt;"Done",D22&lt;&gt;"Done"),"Yes","No")</f>
        <v/>
      </c>
    </row>
    <row r="23">
      <c r="A23" s="2" t="inlineStr">
        <is>
          <t>AGT-011</t>
        </is>
      </c>
      <c r="B23" s="2" t="inlineStr">
        <is>
          <t>MDT-006</t>
        </is>
      </c>
      <c r="C23" s="2">
        <f>IFERROR(INDEX(Issues!$L$2:$L$245,MATCH(A23,Issues!$A$2:$A$245,0)),"")</f>
        <v/>
      </c>
      <c r="D23" s="2">
        <f>IFERROR(INDEX(Issues!$L$2:$L$245,MATCH(B23,Issues!$A$2:$A$245,0)),"")</f>
        <v/>
      </c>
      <c r="E23" s="2">
        <f>IF(AND(C23&lt;&gt;"Done",D23&lt;&gt;"Done"),"Yes","No")</f>
        <v/>
      </c>
    </row>
    <row r="24">
      <c r="A24" s="2" t="inlineStr">
        <is>
          <t>AGT-012</t>
        </is>
      </c>
      <c r="B24" s="2" t="inlineStr">
        <is>
          <t>AGT-007</t>
        </is>
      </c>
      <c r="C24" s="2">
        <f>IFERROR(INDEX(Issues!$L$2:$L$245,MATCH(A24,Issues!$A$2:$A$245,0)),"")</f>
        <v/>
      </c>
      <c r="D24" s="2">
        <f>IFERROR(INDEX(Issues!$L$2:$L$245,MATCH(B24,Issues!$A$2:$A$245,0)),"")</f>
        <v/>
      </c>
      <c r="E24" s="2">
        <f>IF(AND(C24&lt;&gt;"Done",D24&lt;&gt;"Done"),"Yes","No")</f>
        <v/>
      </c>
    </row>
    <row r="25">
      <c r="A25" s="2" t="inlineStr">
        <is>
          <t>AGT-013</t>
        </is>
      </c>
      <c r="B25" s="2" t="inlineStr">
        <is>
          <t>AGT-005</t>
        </is>
      </c>
      <c r="C25" s="2">
        <f>IFERROR(INDEX(Issues!$L$2:$L$245,MATCH(A25,Issues!$A$2:$A$245,0)),"")</f>
        <v/>
      </c>
      <c r="D25" s="2">
        <f>IFERROR(INDEX(Issues!$L$2:$L$245,MATCH(B25,Issues!$A$2:$A$245,0)),"")</f>
        <v/>
      </c>
      <c r="E25" s="2">
        <f>IF(AND(C25&lt;&gt;"Done",D25&lt;&gt;"Done"),"Yes","No")</f>
        <v/>
      </c>
    </row>
    <row r="26">
      <c r="A26" s="2" t="inlineStr">
        <is>
          <t>AGT-013</t>
        </is>
      </c>
      <c r="B26" s="2" t="inlineStr">
        <is>
          <t>DOM-004</t>
        </is>
      </c>
      <c r="C26" s="2">
        <f>IFERROR(INDEX(Issues!$L$2:$L$245,MATCH(A26,Issues!$A$2:$A$245,0)),"")</f>
        <v/>
      </c>
      <c r="D26" s="2">
        <f>IFERROR(INDEX(Issues!$L$2:$L$245,MATCH(B26,Issues!$A$2:$A$245,0)),"")</f>
        <v/>
      </c>
      <c r="E26" s="2">
        <f>IF(AND(C26&lt;&gt;"Done",D26&lt;&gt;"Done"),"Yes","No")</f>
        <v/>
      </c>
    </row>
    <row r="27">
      <c r="A27" s="2" t="inlineStr">
        <is>
          <t>AGT-014</t>
        </is>
      </c>
      <c r="B27" s="2" t="inlineStr">
        <is>
          <t>AGT-009</t>
        </is>
      </c>
      <c r="C27" s="2">
        <f>IFERROR(INDEX(Issues!$L$2:$L$245,MATCH(A27,Issues!$A$2:$A$245,0)),"")</f>
        <v/>
      </c>
      <c r="D27" s="2">
        <f>IFERROR(INDEX(Issues!$L$2:$L$245,MATCH(B27,Issues!$A$2:$A$245,0)),"")</f>
        <v/>
      </c>
      <c r="E27" s="2">
        <f>IF(AND(C27&lt;&gt;"Done",D27&lt;&gt;"Done"),"Yes","No")</f>
        <v/>
      </c>
    </row>
    <row r="28">
      <c r="A28" s="2" t="inlineStr">
        <is>
          <t>AGT-014</t>
        </is>
      </c>
      <c r="B28" s="2" t="inlineStr">
        <is>
          <t>ENG-006</t>
        </is>
      </c>
      <c r="C28" s="2">
        <f>IFERROR(INDEX(Issues!$L$2:$L$245,MATCH(A28,Issues!$A$2:$A$245,0)),"")</f>
        <v/>
      </c>
      <c r="D28" s="2">
        <f>IFERROR(INDEX(Issues!$L$2:$L$245,MATCH(B28,Issues!$A$2:$A$245,0)),"")</f>
        <v/>
      </c>
      <c r="E28" s="2">
        <f>IF(AND(C28&lt;&gt;"Done",D28&lt;&gt;"Done"),"Yes","No")</f>
        <v/>
      </c>
    </row>
    <row r="29">
      <c r="A29" s="2" t="inlineStr">
        <is>
          <t>AGT-014</t>
        </is>
      </c>
      <c r="B29" s="2" t="inlineStr">
        <is>
          <t>DOM-005</t>
        </is>
      </c>
      <c r="C29" s="2">
        <f>IFERROR(INDEX(Issues!$L$2:$L$245,MATCH(A29,Issues!$A$2:$A$245,0)),"")</f>
        <v/>
      </c>
      <c r="D29" s="2">
        <f>IFERROR(INDEX(Issues!$L$2:$L$245,MATCH(B29,Issues!$A$2:$A$245,0)),"")</f>
        <v/>
      </c>
      <c r="E29" s="2">
        <f>IF(AND(C29&lt;&gt;"Done",D29&lt;&gt;"Done"),"Yes","No")</f>
        <v/>
      </c>
    </row>
    <row r="30">
      <c r="A30" s="2" t="inlineStr">
        <is>
          <t>AGT-015</t>
        </is>
      </c>
      <c r="B30" s="2" t="inlineStr">
        <is>
          <t>AGT-006</t>
        </is>
      </c>
      <c r="C30" s="2">
        <f>IFERROR(INDEX(Issues!$L$2:$L$245,MATCH(A30,Issues!$A$2:$A$245,0)),"")</f>
        <v/>
      </c>
      <c r="D30" s="2">
        <f>IFERROR(INDEX(Issues!$L$2:$L$245,MATCH(B30,Issues!$A$2:$A$245,0)),"")</f>
        <v/>
      </c>
      <c r="E30" s="2">
        <f>IF(AND(C30&lt;&gt;"Done",D30&lt;&gt;"Done"),"Yes","No")</f>
        <v/>
      </c>
    </row>
    <row r="31">
      <c r="A31" s="2" t="inlineStr">
        <is>
          <t>AGT-015</t>
        </is>
      </c>
      <c r="B31" s="2" t="inlineStr">
        <is>
          <t>DOM-006</t>
        </is>
      </c>
      <c r="C31" s="2">
        <f>IFERROR(INDEX(Issues!$L$2:$L$245,MATCH(A31,Issues!$A$2:$A$245,0)),"")</f>
        <v/>
      </c>
      <c r="D31" s="2">
        <f>IFERROR(INDEX(Issues!$L$2:$L$245,MATCH(B31,Issues!$A$2:$A$245,0)),"")</f>
        <v/>
      </c>
      <c r="E31" s="2">
        <f>IF(AND(C31&lt;&gt;"Done",D31&lt;&gt;"Done"),"Yes","No")</f>
        <v/>
      </c>
    </row>
    <row r="32">
      <c r="A32" s="2" t="inlineStr">
        <is>
          <t>AGT-016</t>
        </is>
      </c>
      <c r="B32" s="2" t="inlineStr">
        <is>
          <t>AGT-012</t>
        </is>
      </c>
      <c r="C32" s="2">
        <f>IFERROR(INDEX(Issues!$L$2:$L$245,MATCH(A32,Issues!$A$2:$A$245,0)),"")</f>
        <v/>
      </c>
      <c r="D32" s="2">
        <f>IFERROR(INDEX(Issues!$L$2:$L$245,MATCH(B32,Issues!$A$2:$A$245,0)),"")</f>
        <v/>
      </c>
      <c r="E32" s="2">
        <f>IF(AND(C32&lt;&gt;"Done",D32&lt;&gt;"Done"),"Yes","No")</f>
        <v/>
      </c>
    </row>
    <row r="33">
      <c r="A33" s="2" t="inlineStr">
        <is>
          <t>AGT-016</t>
        </is>
      </c>
      <c r="B33" s="2" t="inlineStr">
        <is>
          <t>DOM-007</t>
        </is>
      </c>
      <c r="C33" s="2">
        <f>IFERROR(INDEX(Issues!$L$2:$L$245,MATCH(A33,Issues!$A$2:$A$245,0)),"")</f>
        <v/>
      </c>
      <c r="D33" s="2">
        <f>IFERROR(INDEX(Issues!$L$2:$L$245,MATCH(B33,Issues!$A$2:$A$245,0)),"")</f>
        <v/>
      </c>
      <c r="E33" s="2">
        <f>IF(AND(C33&lt;&gt;"Done",D33&lt;&gt;"Done"),"Yes","No")</f>
        <v/>
      </c>
    </row>
    <row r="34">
      <c r="A34" s="2" t="inlineStr">
        <is>
          <t>AGT-017</t>
        </is>
      </c>
      <c r="B34" s="2" t="inlineStr">
        <is>
          <t>AGT-001</t>
        </is>
      </c>
      <c r="C34" s="2">
        <f>IFERROR(INDEX(Issues!$L$2:$L$245,MATCH(A34,Issues!$A$2:$A$245,0)),"")</f>
        <v/>
      </c>
      <c r="D34" s="2">
        <f>IFERROR(INDEX(Issues!$L$2:$L$245,MATCH(B34,Issues!$A$2:$A$245,0)),"")</f>
        <v/>
      </c>
      <c r="E34" s="2">
        <f>IF(AND(C34&lt;&gt;"Done",D34&lt;&gt;"Done"),"Yes","No")</f>
        <v/>
      </c>
    </row>
    <row r="35">
      <c r="A35" s="2" t="inlineStr">
        <is>
          <t>AUD-001</t>
        </is>
      </c>
      <c r="B35" s="2" t="inlineStr">
        <is>
          <t>IDN-001</t>
        </is>
      </c>
      <c r="C35" s="2">
        <f>IFERROR(INDEX(Issues!$L$2:$L$245,MATCH(A35,Issues!$A$2:$A$245,0)),"")</f>
        <v/>
      </c>
      <c r="D35" s="2">
        <f>IFERROR(INDEX(Issues!$L$2:$L$245,MATCH(B35,Issues!$A$2:$A$245,0)),"")</f>
        <v/>
      </c>
      <c r="E35" s="2">
        <f>IF(AND(C35&lt;&gt;"Done",D35&lt;&gt;"Done"),"Yes","No")</f>
        <v/>
      </c>
    </row>
    <row r="36">
      <c r="A36" s="2" t="inlineStr">
        <is>
          <t>AUD-002</t>
        </is>
      </c>
      <c r="B36" s="2" t="inlineStr">
        <is>
          <t>AUD-001</t>
        </is>
      </c>
      <c r="C36" s="2">
        <f>IFERROR(INDEX(Issues!$L$2:$L$245,MATCH(A36,Issues!$A$2:$A$245,0)),"")</f>
        <v/>
      </c>
      <c r="D36" s="2">
        <f>IFERROR(INDEX(Issues!$L$2:$L$245,MATCH(B36,Issues!$A$2:$A$245,0)),"")</f>
        <v/>
      </c>
      <c r="E36" s="2">
        <f>IF(AND(C36&lt;&gt;"Done",D36&lt;&gt;"Done"),"Yes","No")</f>
        <v/>
      </c>
    </row>
    <row r="37">
      <c r="A37" s="2" t="inlineStr">
        <is>
          <t>AUD-003</t>
        </is>
      </c>
      <c r="B37" s="2" t="inlineStr">
        <is>
          <t>AUD-001</t>
        </is>
      </c>
      <c r="C37" s="2">
        <f>IFERROR(INDEX(Issues!$L$2:$L$245,MATCH(A37,Issues!$A$2:$A$245,0)),"")</f>
        <v/>
      </c>
      <c r="D37" s="2">
        <f>IFERROR(INDEX(Issues!$L$2:$L$245,MATCH(B37,Issues!$A$2:$A$245,0)),"")</f>
        <v/>
      </c>
      <c r="E37" s="2">
        <f>IF(AND(C37&lt;&gt;"Done",D37&lt;&gt;"Done"),"Yes","No")</f>
        <v/>
      </c>
    </row>
    <row r="38">
      <c r="A38" s="2" t="inlineStr">
        <is>
          <t>AUD-003</t>
        </is>
      </c>
      <c r="B38" s="2" t="inlineStr">
        <is>
          <t>EXE-008</t>
        </is>
      </c>
      <c r="C38" s="2">
        <f>IFERROR(INDEX(Issues!$L$2:$L$245,MATCH(A38,Issues!$A$2:$A$245,0)),"")</f>
        <v/>
      </c>
      <c r="D38" s="2">
        <f>IFERROR(INDEX(Issues!$L$2:$L$245,MATCH(B38,Issues!$A$2:$A$245,0)),"")</f>
        <v/>
      </c>
      <c r="E38" s="2">
        <f>IF(AND(C38&lt;&gt;"Done",D38&lt;&gt;"Done"),"Yes","No")</f>
        <v/>
      </c>
    </row>
    <row r="39">
      <c r="A39" s="2" t="inlineStr">
        <is>
          <t>AUD-004</t>
        </is>
      </c>
      <c r="B39" s="2" t="inlineStr">
        <is>
          <t>CHR-002</t>
        </is>
      </c>
      <c r="C39" s="2">
        <f>IFERROR(INDEX(Issues!$L$2:$L$245,MATCH(A39,Issues!$A$2:$A$245,0)),"")</f>
        <v/>
      </c>
      <c r="D39" s="2">
        <f>IFERROR(INDEX(Issues!$L$2:$L$245,MATCH(B39,Issues!$A$2:$A$245,0)),"")</f>
        <v/>
      </c>
      <c r="E39" s="2">
        <f>IF(AND(C39&lt;&gt;"Done",D39&lt;&gt;"Done"),"Yes","No")</f>
        <v/>
      </c>
    </row>
    <row r="40">
      <c r="A40" s="2" t="inlineStr">
        <is>
          <t>AUD-L01</t>
        </is>
      </c>
      <c r="B40" s="2" t="inlineStr">
        <is>
          <t>AUD-002</t>
        </is>
      </c>
      <c r="C40" s="2">
        <f>IFERROR(INDEX(Issues!$L$2:$L$245,MATCH(A40,Issues!$A$2:$A$245,0)),"")</f>
        <v/>
      </c>
      <c r="D40" s="2">
        <f>IFERROR(INDEX(Issues!$L$2:$L$245,MATCH(B40,Issues!$A$2:$A$245,0)),"")</f>
        <v/>
      </c>
      <c r="E40" s="2">
        <f>IF(AND(C40&lt;&gt;"Done",D40&lt;&gt;"Done"),"Yes","No")</f>
        <v/>
      </c>
    </row>
    <row r="41">
      <c r="A41" s="2" t="inlineStr">
        <is>
          <t>CHR-001</t>
        </is>
      </c>
      <c r="B41" s="2" t="inlineStr">
        <is>
          <t>TRS-002</t>
        </is>
      </c>
      <c r="C41" s="2">
        <f>IFERROR(INDEX(Issues!$L$2:$L$245,MATCH(A41,Issues!$A$2:$A$245,0)),"")</f>
        <v/>
      </c>
      <c r="D41" s="2">
        <f>IFERROR(INDEX(Issues!$L$2:$L$245,MATCH(B41,Issues!$A$2:$A$245,0)),"")</f>
        <v/>
      </c>
      <c r="E41" s="2">
        <f>IF(AND(C41&lt;&gt;"Done",D41&lt;&gt;"Done"),"Yes","No")</f>
        <v/>
      </c>
    </row>
    <row r="42">
      <c r="A42" s="2" t="inlineStr">
        <is>
          <t>CHR-002</t>
        </is>
      </c>
      <c r="B42" s="2" t="inlineStr">
        <is>
          <t>CHR-001</t>
        </is>
      </c>
      <c r="C42" s="2">
        <f>IFERROR(INDEX(Issues!$L$2:$L$245,MATCH(A42,Issues!$A$2:$A$245,0)),"")</f>
        <v/>
      </c>
      <c r="D42" s="2">
        <f>IFERROR(INDEX(Issues!$L$2:$L$245,MATCH(B42,Issues!$A$2:$A$245,0)),"")</f>
        <v/>
      </c>
      <c r="E42" s="2">
        <f>IF(AND(C42&lt;&gt;"Done",D42&lt;&gt;"Done"),"Yes","No")</f>
        <v/>
      </c>
    </row>
    <row r="43">
      <c r="A43" s="2" t="inlineStr">
        <is>
          <t>CHR-002</t>
        </is>
      </c>
      <c r="B43" s="2" t="inlineStr">
        <is>
          <t>TRS-004</t>
        </is>
      </c>
      <c r="C43" s="2">
        <f>IFERROR(INDEX(Issues!$L$2:$L$245,MATCH(A43,Issues!$A$2:$A$245,0)),"")</f>
        <v/>
      </c>
      <c r="D43" s="2">
        <f>IFERROR(INDEX(Issues!$L$2:$L$245,MATCH(B43,Issues!$A$2:$A$245,0)),"")</f>
        <v/>
      </c>
      <c r="E43" s="2">
        <f>IF(AND(C43&lt;&gt;"Done",D43&lt;&gt;"Done"),"Yes","No")</f>
        <v/>
      </c>
    </row>
    <row r="44">
      <c r="A44" s="2" t="inlineStr">
        <is>
          <t>CHR-003</t>
        </is>
      </c>
      <c r="B44" s="2" t="inlineStr">
        <is>
          <t>CHR-001</t>
        </is>
      </c>
      <c r="C44" s="2">
        <f>IFERROR(INDEX(Issues!$L$2:$L$245,MATCH(A44,Issues!$A$2:$A$245,0)),"")</f>
        <v/>
      </c>
      <c r="D44" s="2">
        <f>IFERROR(INDEX(Issues!$L$2:$L$245,MATCH(B44,Issues!$A$2:$A$245,0)),"")</f>
        <v/>
      </c>
      <c r="E44" s="2">
        <f>IF(AND(C44&lt;&gt;"Done",D44&lt;&gt;"Done"),"Yes","No")</f>
        <v/>
      </c>
    </row>
    <row r="45">
      <c r="A45" s="2" t="inlineStr">
        <is>
          <t>CHR-003</t>
        </is>
      </c>
      <c r="B45" s="2" t="inlineStr">
        <is>
          <t>EXE-001</t>
        </is>
      </c>
      <c r="C45" s="2">
        <f>IFERROR(INDEX(Issues!$L$2:$L$245,MATCH(A45,Issues!$A$2:$A$245,0)),"")</f>
        <v/>
      </c>
      <c r="D45" s="2">
        <f>IFERROR(INDEX(Issues!$L$2:$L$245,MATCH(B45,Issues!$A$2:$A$245,0)),"")</f>
        <v/>
      </c>
      <c r="E45" s="2">
        <f>IF(AND(C45&lt;&gt;"Done",D45&lt;&gt;"Done"),"Yes","No")</f>
        <v/>
      </c>
    </row>
    <row r="46">
      <c r="A46" s="2" t="inlineStr">
        <is>
          <t>CHR-004</t>
        </is>
      </c>
      <c r="B46" s="2" t="inlineStr">
        <is>
          <t>CHR-003</t>
        </is>
      </c>
      <c r="C46" s="2">
        <f>IFERROR(INDEX(Issues!$L$2:$L$245,MATCH(A46,Issues!$A$2:$A$245,0)),"")</f>
        <v/>
      </c>
      <c r="D46" s="2">
        <f>IFERROR(INDEX(Issues!$L$2:$L$245,MATCH(B46,Issues!$A$2:$A$245,0)),"")</f>
        <v/>
      </c>
      <c r="E46" s="2">
        <f>IF(AND(C46&lt;&gt;"Done",D46&lt;&gt;"Done"),"Yes","No")</f>
        <v/>
      </c>
    </row>
    <row r="47">
      <c r="A47" s="2" t="inlineStr">
        <is>
          <t>CHR-005</t>
        </is>
      </c>
      <c r="B47" s="2" t="inlineStr">
        <is>
          <t>CHR-001</t>
        </is>
      </c>
      <c r="C47" s="2">
        <f>IFERROR(INDEX(Issues!$L$2:$L$245,MATCH(A47,Issues!$A$2:$A$245,0)),"")</f>
        <v/>
      </c>
      <c r="D47" s="2">
        <f>IFERROR(INDEX(Issues!$L$2:$L$245,MATCH(B47,Issues!$A$2:$A$245,0)),"")</f>
        <v/>
      </c>
      <c r="E47" s="2">
        <f>IF(AND(C47&lt;&gt;"Done",D47&lt;&gt;"Done"),"Yes","No")</f>
        <v/>
      </c>
    </row>
    <row r="48">
      <c r="A48" s="2" t="inlineStr">
        <is>
          <t>CHR-005</t>
        </is>
      </c>
      <c r="B48" s="2" t="inlineStr">
        <is>
          <t>SC-016</t>
        </is>
      </c>
      <c r="C48" s="2">
        <f>IFERROR(INDEX(Issues!$L$2:$L$245,MATCH(A48,Issues!$A$2:$A$245,0)),"")</f>
        <v/>
      </c>
      <c r="D48" s="2">
        <f>IFERROR(INDEX(Issues!$L$2:$L$245,MATCH(B48,Issues!$A$2:$A$245,0)),"")</f>
        <v/>
      </c>
      <c r="E48" s="2">
        <f>IF(AND(C48&lt;&gt;"Done",D48&lt;&gt;"Done"),"Yes","No")</f>
        <v/>
      </c>
    </row>
    <row r="49">
      <c r="A49" s="2" t="inlineStr">
        <is>
          <t>CHR-006</t>
        </is>
      </c>
      <c r="B49" s="2" t="inlineStr">
        <is>
          <t>CHR-005</t>
        </is>
      </c>
      <c r="C49" s="2">
        <f>IFERROR(INDEX(Issues!$L$2:$L$245,MATCH(A49,Issues!$A$2:$A$245,0)),"")</f>
        <v/>
      </c>
      <c r="D49" s="2">
        <f>IFERROR(INDEX(Issues!$L$2:$L$245,MATCH(B49,Issues!$A$2:$A$245,0)),"")</f>
        <v/>
      </c>
      <c r="E49" s="2">
        <f>IF(AND(C49&lt;&gt;"Done",D49&lt;&gt;"Done"),"Yes","No")</f>
        <v/>
      </c>
    </row>
    <row r="50">
      <c r="A50" s="2" t="inlineStr">
        <is>
          <t>CHR-006</t>
        </is>
      </c>
      <c r="B50" s="2" t="inlineStr">
        <is>
          <t>EXE-001</t>
        </is>
      </c>
      <c r="C50" s="2">
        <f>IFERROR(INDEX(Issues!$L$2:$L$245,MATCH(A50,Issues!$A$2:$A$245,0)),"")</f>
        <v/>
      </c>
      <c r="D50" s="2">
        <f>IFERROR(INDEX(Issues!$L$2:$L$245,MATCH(B50,Issues!$A$2:$A$245,0)),"")</f>
        <v/>
      </c>
      <c r="E50" s="2">
        <f>IF(AND(C50&lt;&gt;"Done",D50&lt;&gt;"Done"),"Yes","No")</f>
        <v/>
      </c>
    </row>
    <row r="51">
      <c r="A51" s="2" t="inlineStr">
        <is>
          <t>CMP-001</t>
        </is>
      </c>
      <c r="B51" s="2" t="inlineStr">
        <is>
          <t>MDT-001</t>
        </is>
      </c>
      <c r="C51" s="2">
        <f>IFERROR(INDEX(Issues!$L$2:$L$245,MATCH(A51,Issues!$A$2:$A$245,0)),"")</f>
        <v/>
      </c>
      <c r="D51" s="2">
        <f>IFERROR(INDEX(Issues!$L$2:$L$245,MATCH(B51,Issues!$A$2:$A$245,0)),"")</f>
        <v/>
      </c>
      <c r="E51" s="2">
        <f>IF(AND(C51&lt;&gt;"Done",D51&lt;&gt;"Done"),"Yes","No")</f>
        <v/>
      </c>
    </row>
    <row r="52">
      <c r="A52" s="2" t="inlineStr">
        <is>
          <t>CMP-002</t>
        </is>
      </c>
      <c r="B52" s="2" t="inlineStr">
        <is>
          <t>CMP-001</t>
        </is>
      </c>
      <c r="C52" s="2">
        <f>IFERROR(INDEX(Issues!$L$2:$L$245,MATCH(A52,Issues!$A$2:$A$245,0)),"")</f>
        <v/>
      </c>
      <c r="D52" s="2">
        <f>IFERROR(INDEX(Issues!$L$2:$L$245,MATCH(B52,Issues!$A$2:$A$245,0)),"")</f>
        <v/>
      </c>
      <c r="E52" s="2">
        <f>IF(AND(C52&lt;&gt;"Done",D52&lt;&gt;"Done"),"Yes","No")</f>
        <v/>
      </c>
    </row>
    <row r="53">
      <c r="A53" s="2" t="inlineStr">
        <is>
          <t>CMP-002</t>
        </is>
      </c>
      <c r="B53" s="2" t="inlineStr">
        <is>
          <t>POL-003</t>
        </is>
      </c>
      <c r="C53" s="2">
        <f>IFERROR(INDEX(Issues!$L$2:$L$245,MATCH(A53,Issues!$A$2:$A$245,0)),"")</f>
        <v/>
      </c>
      <c r="D53" s="2">
        <f>IFERROR(INDEX(Issues!$L$2:$L$245,MATCH(B53,Issues!$A$2:$A$245,0)),"")</f>
        <v/>
      </c>
      <c r="E53" s="2">
        <f>IF(AND(C53&lt;&gt;"Done",D53&lt;&gt;"Done"),"Yes","No")</f>
        <v/>
      </c>
    </row>
    <row r="54">
      <c r="A54" s="2" t="inlineStr">
        <is>
          <t>CMP-003</t>
        </is>
      </c>
      <c r="B54" s="2" t="inlineStr">
        <is>
          <t>DEV-001</t>
        </is>
      </c>
      <c r="C54" s="2">
        <f>IFERROR(INDEX(Issues!$L$2:$L$245,MATCH(A54,Issues!$A$2:$A$245,0)),"")</f>
        <v/>
      </c>
      <c r="D54" s="2">
        <f>IFERROR(INDEX(Issues!$L$2:$L$245,MATCH(B54,Issues!$A$2:$A$245,0)),"")</f>
        <v/>
      </c>
      <c r="E54" s="2">
        <f>IF(AND(C54&lt;&gt;"Done",D54&lt;&gt;"Done"),"Yes","No")</f>
        <v/>
      </c>
    </row>
    <row r="55">
      <c r="A55" s="2" t="inlineStr">
        <is>
          <t>CMP-L01</t>
        </is>
      </c>
      <c r="B55" s="2" t="inlineStr">
        <is>
          <t>CMP-001</t>
        </is>
      </c>
      <c r="C55" s="2">
        <f>IFERROR(INDEX(Issues!$L$2:$L$245,MATCH(A55,Issues!$A$2:$A$245,0)),"")</f>
        <v/>
      </c>
      <c r="D55" s="2">
        <f>IFERROR(INDEX(Issues!$L$2:$L$245,MATCH(B55,Issues!$A$2:$A$245,0)),"")</f>
        <v/>
      </c>
      <c r="E55" s="2">
        <f>IF(AND(C55&lt;&gt;"Done",D55&lt;&gt;"Done"),"Yes","No")</f>
        <v/>
      </c>
    </row>
    <row r="56">
      <c r="A56" s="2" t="inlineStr">
        <is>
          <t>CMP-L02</t>
        </is>
      </c>
      <c r="B56" s="2" t="inlineStr">
        <is>
          <t>CMP-L01</t>
        </is>
      </c>
      <c r="C56" s="2">
        <f>IFERROR(INDEX(Issues!$L$2:$L$245,MATCH(A56,Issues!$A$2:$A$245,0)),"")</f>
        <v/>
      </c>
      <c r="D56" s="2">
        <f>IFERROR(INDEX(Issues!$L$2:$L$245,MATCH(B56,Issues!$A$2:$A$245,0)),"")</f>
        <v/>
      </c>
      <c r="E56" s="2">
        <f>IF(AND(C56&lt;&gt;"Done",D56&lt;&gt;"Done"),"Yes","No")</f>
        <v/>
      </c>
    </row>
    <row r="57">
      <c r="A57" s="2" t="inlineStr">
        <is>
          <t>CMP-L03</t>
        </is>
      </c>
      <c r="B57" s="2" t="inlineStr">
        <is>
          <t>CMP-003</t>
        </is>
      </c>
      <c r="C57" s="2">
        <f>IFERROR(INDEX(Issues!$L$2:$L$245,MATCH(A57,Issues!$A$2:$A$245,0)),"")</f>
        <v/>
      </c>
      <c r="D57" s="2">
        <f>IFERROR(INDEX(Issues!$L$2:$L$245,MATCH(B57,Issues!$A$2:$A$245,0)),"")</f>
        <v/>
      </c>
      <c r="E57" s="2">
        <f>IF(AND(C57&lt;&gt;"Done",D57&lt;&gt;"Done"),"Yes","No")</f>
        <v/>
      </c>
    </row>
    <row r="58">
      <c r="A58" s="2" t="inlineStr">
        <is>
          <t>CMP-L04</t>
        </is>
      </c>
      <c r="B58" s="2" t="inlineStr">
        <is>
          <t>CMP-L03</t>
        </is>
      </c>
      <c r="C58" s="2">
        <f>IFERROR(INDEX(Issues!$L$2:$L$245,MATCH(A58,Issues!$A$2:$A$245,0)),"")</f>
        <v/>
      </c>
      <c r="D58" s="2">
        <f>IFERROR(INDEX(Issues!$L$2:$L$245,MATCH(B58,Issues!$A$2:$A$245,0)),"")</f>
        <v/>
      </c>
      <c r="E58" s="2">
        <f>IF(AND(C58&lt;&gt;"Done",D58&lt;&gt;"Done"),"Yes","No")</f>
        <v/>
      </c>
    </row>
    <row r="59">
      <c r="A59" s="2" t="inlineStr">
        <is>
          <t>DEV-002</t>
        </is>
      </c>
      <c r="B59" s="2" t="inlineStr">
        <is>
          <t>DEV-001</t>
        </is>
      </c>
      <c r="C59" s="2">
        <f>IFERROR(INDEX(Issues!$L$2:$L$245,MATCH(A59,Issues!$A$2:$A$245,0)),"")</f>
        <v/>
      </c>
      <c r="D59" s="2">
        <f>IFERROR(INDEX(Issues!$L$2:$L$245,MATCH(B59,Issues!$A$2:$A$245,0)),"")</f>
        <v/>
      </c>
      <c r="E59" s="2">
        <f>IF(AND(C59&lt;&gt;"Done",D59&lt;&gt;"Done"),"Yes","No")</f>
        <v/>
      </c>
    </row>
    <row r="60">
      <c r="A60" s="2" t="inlineStr">
        <is>
          <t>DEV-003</t>
        </is>
      </c>
      <c r="B60" s="2" t="inlineStr">
        <is>
          <t>DEV-001</t>
        </is>
      </c>
      <c r="C60" s="2">
        <f>IFERROR(INDEX(Issues!$L$2:$L$245,MATCH(A60,Issues!$A$2:$A$245,0)),"")</f>
        <v/>
      </c>
      <c r="D60" s="2">
        <f>IFERROR(INDEX(Issues!$L$2:$L$245,MATCH(B60,Issues!$A$2:$A$245,0)),"")</f>
        <v/>
      </c>
      <c r="E60" s="2">
        <f>IF(AND(C60&lt;&gt;"Done",D60&lt;&gt;"Done"),"Yes","No")</f>
        <v/>
      </c>
    </row>
    <row r="61">
      <c r="A61" s="2" t="inlineStr">
        <is>
          <t>DEV-004</t>
        </is>
      </c>
      <c r="B61" s="2" t="inlineStr">
        <is>
          <t>SC-001</t>
        </is>
      </c>
      <c r="C61" s="2">
        <f>IFERROR(INDEX(Issues!$L$2:$L$245,MATCH(A61,Issues!$A$2:$A$245,0)),"")</f>
        <v/>
      </c>
      <c r="D61" s="2">
        <f>IFERROR(INDEX(Issues!$L$2:$L$245,MATCH(B61,Issues!$A$2:$A$245,0)),"")</f>
        <v/>
      </c>
      <c r="E61" s="2">
        <f>IF(AND(C61&lt;&gt;"Done",D61&lt;&gt;"Done"),"Yes","No")</f>
        <v/>
      </c>
    </row>
    <row r="62">
      <c r="A62" s="2" t="inlineStr">
        <is>
          <t>DEV-005</t>
        </is>
      </c>
      <c r="B62" s="2" t="inlineStr">
        <is>
          <t>WEB-001</t>
        </is>
      </c>
      <c r="C62" s="2">
        <f>IFERROR(INDEX(Issues!$L$2:$L$245,MATCH(A62,Issues!$A$2:$A$245,0)),"")</f>
        <v/>
      </c>
      <c r="D62" s="2">
        <f>IFERROR(INDEX(Issues!$L$2:$L$245,MATCH(B62,Issues!$A$2:$A$245,0)),"")</f>
        <v/>
      </c>
      <c r="E62" s="2">
        <f>IF(AND(C62&lt;&gt;"Done",D62&lt;&gt;"Done"),"Yes","No")</f>
        <v/>
      </c>
    </row>
    <row r="63">
      <c r="A63" s="2" t="inlineStr">
        <is>
          <t>DEV-006</t>
        </is>
      </c>
      <c r="B63" s="2" t="inlineStr">
        <is>
          <t>SC-016</t>
        </is>
      </c>
      <c r="C63" s="2">
        <f>IFERROR(INDEX(Issues!$L$2:$L$245,MATCH(A63,Issues!$A$2:$A$245,0)),"")</f>
        <v/>
      </c>
      <c r="D63" s="2">
        <f>IFERROR(INDEX(Issues!$L$2:$L$245,MATCH(B63,Issues!$A$2:$A$245,0)),"")</f>
        <v/>
      </c>
      <c r="E63" s="2">
        <f>IF(AND(C63&lt;&gt;"Done",D63&lt;&gt;"Done"),"Yes","No")</f>
        <v/>
      </c>
    </row>
    <row r="64">
      <c r="A64" s="2" t="inlineStr">
        <is>
          <t>DEV-006</t>
        </is>
      </c>
      <c r="B64" s="2" t="inlineStr">
        <is>
          <t>TRS-004</t>
        </is>
      </c>
      <c r="C64" s="2">
        <f>IFERROR(INDEX(Issues!$L$2:$L$245,MATCH(A64,Issues!$A$2:$A$245,0)),"")</f>
        <v/>
      </c>
      <c r="D64" s="2">
        <f>IFERROR(INDEX(Issues!$L$2:$L$245,MATCH(B64,Issues!$A$2:$A$245,0)),"")</f>
        <v/>
      </c>
      <c r="E64" s="2">
        <f>IF(AND(C64&lt;&gt;"Done",D64&lt;&gt;"Done"),"Yes","No")</f>
        <v/>
      </c>
    </row>
    <row r="65">
      <c r="A65" s="2" t="inlineStr">
        <is>
          <t>DEV-006</t>
        </is>
      </c>
      <c r="B65" s="2" t="inlineStr">
        <is>
          <t>MDT-003</t>
        </is>
      </c>
      <c r="C65" s="2">
        <f>IFERROR(INDEX(Issues!$L$2:$L$245,MATCH(A65,Issues!$A$2:$A$245,0)),"")</f>
        <v/>
      </c>
      <c r="D65" s="2">
        <f>IFERROR(INDEX(Issues!$L$2:$L$245,MATCH(B65,Issues!$A$2:$A$245,0)),"")</f>
        <v/>
      </c>
      <c r="E65" s="2">
        <f>IF(AND(C65&lt;&gt;"Done",D65&lt;&gt;"Done"),"Yes","No")</f>
        <v/>
      </c>
    </row>
    <row r="66">
      <c r="A66" s="2" t="inlineStr">
        <is>
          <t>DEV-006</t>
        </is>
      </c>
      <c r="B66" s="2" t="inlineStr">
        <is>
          <t>INV-003</t>
        </is>
      </c>
      <c r="C66" s="2">
        <f>IFERROR(INDEX(Issues!$L$2:$L$245,MATCH(A66,Issues!$A$2:$A$245,0)),"")</f>
        <v/>
      </c>
      <c r="D66" s="2">
        <f>IFERROR(INDEX(Issues!$L$2:$L$245,MATCH(B66,Issues!$A$2:$A$245,0)),"")</f>
        <v/>
      </c>
      <c r="E66" s="2">
        <f>IF(AND(C66&lt;&gt;"Done",D66&lt;&gt;"Done"),"Yes","No")</f>
        <v/>
      </c>
    </row>
    <row r="67">
      <c r="A67" s="2" t="inlineStr">
        <is>
          <t>DEV-007</t>
        </is>
      </c>
      <c r="B67" s="2" t="inlineStr">
        <is>
          <t>DEV-006</t>
        </is>
      </c>
      <c r="C67" s="2">
        <f>IFERROR(INDEX(Issues!$L$2:$L$245,MATCH(A67,Issues!$A$2:$A$245,0)),"")</f>
        <v/>
      </c>
      <c r="D67" s="2">
        <f>IFERROR(INDEX(Issues!$L$2:$L$245,MATCH(B67,Issues!$A$2:$A$245,0)),"")</f>
        <v/>
      </c>
      <c r="E67" s="2">
        <f>IF(AND(C67&lt;&gt;"Done",D67&lt;&gt;"Done"),"Yes","No")</f>
        <v/>
      </c>
    </row>
    <row r="68">
      <c r="A68" s="2" t="inlineStr">
        <is>
          <t>DEV-007</t>
        </is>
      </c>
      <c r="B68" s="2" t="inlineStr">
        <is>
          <t>AUD-003</t>
        </is>
      </c>
      <c r="C68" s="2">
        <f>IFERROR(INDEX(Issues!$L$2:$L$245,MATCH(A68,Issues!$A$2:$A$245,0)),"")</f>
        <v/>
      </c>
      <c r="D68" s="2">
        <f>IFERROR(INDEX(Issues!$L$2:$L$245,MATCH(B68,Issues!$A$2:$A$245,0)),"")</f>
        <v/>
      </c>
      <c r="E68" s="2">
        <f>IF(AND(C68&lt;&gt;"Done",D68&lt;&gt;"Done"),"Yes","No")</f>
        <v/>
      </c>
    </row>
    <row r="69">
      <c r="A69" s="2" t="inlineStr">
        <is>
          <t>DEV-008</t>
        </is>
      </c>
      <c r="B69" s="2" t="inlineStr">
        <is>
          <t>DEV-007</t>
        </is>
      </c>
      <c r="C69" s="2">
        <f>IFERROR(INDEX(Issues!$L$2:$L$245,MATCH(A69,Issues!$A$2:$A$245,0)),"")</f>
        <v/>
      </c>
      <c r="D69" s="2">
        <f>IFERROR(INDEX(Issues!$L$2:$L$245,MATCH(B69,Issues!$A$2:$A$245,0)),"")</f>
        <v/>
      </c>
      <c r="E69" s="2">
        <f>IF(AND(C69&lt;&gt;"Done",D69&lt;&gt;"Done"),"Yes","No")</f>
        <v/>
      </c>
    </row>
    <row r="70">
      <c r="A70" s="2" t="inlineStr">
        <is>
          <t>DEV-009</t>
        </is>
      </c>
      <c r="B70" s="2" t="inlineStr">
        <is>
          <t>DEV-007</t>
        </is>
      </c>
      <c r="C70" s="2">
        <f>IFERROR(INDEX(Issues!$L$2:$L$245,MATCH(A70,Issues!$A$2:$A$245,0)),"")</f>
        <v/>
      </c>
      <c r="D70" s="2">
        <f>IFERROR(INDEX(Issues!$L$2:$L$245,MATCH(B70,Issues!$A$2:$A$245,0)),"")</f>
        <v/>
      </c>
      <c r="E70" s="2">
        <f>IF(AND(C70&lt;&gt;"Done",D70&lt;&gt;"Done"),"Yes","No")</f>
        <v/>
      </c>
    </row>
    <row r="71">
      <c r="A71" s="2" t="inlineStr">
        <is>
          <t>DEV-010</t>
        </is>
      </c>
      <c r="B71" s="2" t="inlineStr">
        <is>
          <t>DEV-002</t>
        </is>
      </c>
      <c r="C71" s="2">
        <f>IFERROR(INDEX(Issues!$L$2:$L$245,MATCH(A71,Issues!$A$2:$A$245,0)),"")</f>
        <v/>
      </c>
      <c r="D71" s="2">
        <f>IFERROR(INDEX(Issues!$L$2:$L$245,MATCH(B71,Issues!$A$2:$A$245,0)),"")</f>
        <v/>
      </c>
      <c r="E71" s="2">
        <f>IF(AND(C71&lt;&gt;"Done",D71&lt;&gt;"Done"),"Yes","No")</f>
        <v/>
      </c>
    </row>
    <row r="72">
      <c r="A72" s="2" t="inlineStr">
        <is>
          <t>DEV-010</t>
        </is>
      </c>
      <c r="B72" s="2" t="inlineStr">
        <is>
          <t>DOM-001</t>
        </is>
      </c>
      <c r="C72" s="2">
        <f>IFERROR(INDEX(Issues!$L$2:$L$245,MATCH(A72,Issues!$A$2:$A$245,0)),"")</f>
        <v/>
      </c>
      <c r="D72" s="2">
        <f>IFERROR(INDEX(Issues!$L$2:$L$245,MATCH(B72,Issues!$A$2:$A$245,0)),"")</f>
        <v/>
      </c>
      <c r="E72" s="2">
        <f>IF(AND(C72&lt;&gt;"Done",D72&lt;&gt;"Done"),"Yes","No")</f>
        <v/>
      </c>
    </row>
    <row r="73">
      <c r="A73" s="2" t="inlineStr">
        <is>
          <t>DEV-010</t>
        </is>
      </c>
      <c r="B73" s="2" t="inlineStr">
        <is>
          <t>SC-016</t>
        </is>
      </c>
      <c r="C73" s="2">
        <f>IFERROR(INDEX(Issues!$L$2:$L$245,MATCH(A73,Issues!$A$2:$A$245,0)),"")</f>
        <v/>
      </c>
      <c r="D73" s="2">
        <f>IFERROR(INDEX(Issues!$L$2:$L$245,MATCH(B73,Issues!$A$2:$A$245,0)),"")</f>
        <v/>
      </c>
      <c r="E73" s="2">
        <f>IF(AND(C73&lt;&gt;"Done",D73&lt;&gt;"Done"),"Yes","No")</f>
        <v/>
      </c>
    </row>
    <row r="74">
      <c r="A74" s="2" t="inlineStr">
        <is>
          <t>DEV-011</t>
        </is>
      </c>
      <c r="B74" s="2" t="inlineStr">
        <is>
          <t>DEV-001</t>
        </is>
      </c>
      <c r="C74" s="2">
        <f>IFERROR(INDEX(Issues!$L$2:$L$245,MATCH(A74,Issues!$A$2:$A$245,0)),"")</f>
        <v/>
      </c>
      <c r="D74" s="2">
        <f>IFERROR(INDEX(Issues!$L$2:$L$245,MATCH(B74,Issues!$A$2:$A$245,0)),"")</f>
        <v/>
      </c>
      <c r="E74" s="2">
        <f>IF(AND(C74&lt;&gt;"Done",D74&lt;&gt;"Done"),"Yes","No")</f>
        <v/>
      </c>
    </row>
    <row r="75">
      <c r="A75" s="2" t="inlineStr">
        <is>
          <t>DEV-012</t>
        </is>
      </c>
      <c r="B75" s="2" t="inlineStr">
        <is>
          <t>SC-016</t>
        </is>
      </c>
      <c r="C75" s="2">
        <f>IFERROR(INDEX(Issues!$L$2:$L$245,MATCH(A75,Issues!$A$2:$A$245,0)),"")</f>
        <v/>
      </c>
      <c r="D75" s="2">
        <f>IFERROR(INDEX(Issues!$L$2:$L$245,MATCH(B75,Issues!$A$2:$A$245,0)),"")</f>
        <v/>
      </c>
      <c r="E75" s="2">
        <f>IF(AND(C75&lt;&gt;"Done",D75&lt;&gt;"Done"),"Yes","No")</f>
        <v/>
      </c>
    </row>
    <row r="76">
      <c r="A76" s="2" t="inlineStr">
        <is>
          <t>DEV-012</t>
        </is>
      </c>
      <c r="B76" s="2" t="inlineStr">
        <is>
          <t>DEV-003</t>
        </is>
      </c>
      <c r="C76" s="2">
        <f>IFERROR(INDEX(Issues!$L$2:$L$245,MATCH(A76,Issues!$A$2:$A$245,0)),"")</f>
        <v/>
      </c>
      <c r="D76" s="2">
        <f>IFERROR(INDEX(Issues!$L$2:$L$245,MATCH(B76,Issues!$A$2:$A$245,0)),"")</f>
        <v/>
      </c>
      <c r="E76" s="2">
        <f>IF(AND(C76&lt;&gt;"Done",D76&lt;&gt;"Done"),"Yes","No")</f>
        <v/>
      </c>
    </row>
    <row r="77">
      <c r="A77" s="2" t="inlineStr">
        <is>
          <t>DOM-002</t>
        </is>
      </c>
      <c r="B77" s="2" t="inlineStr">
        <is>
          <t>DOM-001</t>
        </is>
      </c>
      <c r="C77" s="2">
        <f>IFERROR(INDEX(Issues!$L$2:$L$245,MATCH(A77,Issues!$A$2:$A$245,0)),"")</f>
        <v/>
      </c>
      <c r="D77" s="2">
        <f>IFERROR(INDEX(Issues!$L$2:$L$245,MATCH(B77,Issues!$A$2:$A$245,0)),"")</f>
        <v/>
      </c>
      <c r="E77" s="2">
        <f>IF(AND(C77&lt;&gt;"Done",D77&lt;&gt;"Done"),"Yes","No")</f>
        <v/>
      </c>
    </row>
    <row r="78">
      <c r="A78" s="2" t="inlineStr">
        <is>
          <t>DOM-007</t>
        </is>
      </c>
      <c r="B78" s="2" t="inlineStr">
        <is>
          <t>DOM-005</t>
        </is>
      </c>
      <c r="C78" s="2">
        <f>IFERROR(INDEX(Issues!$L$2:$L$245,MATCH(A78,Issues!$A$2:$A$245,0)),"")</f>
        <v/>
      </c>
      <c r="D78" s="2">
        <f>IFERROR(INDEX(Issues!$L$2:$L$245,MATCH(B78,Issues!$A$2:$A$245,0)),"")</f>
        <v/>
      </c>
      <c r="E78" s="2">
        <f>IF(AND(C78&lt;&gt;"Done",D78&lt;&gt;"Done"),"Yes","No")</f>
        <v/>
      </c>
    </row>
    <row r="79">
      <c r="A79" s="2" t="inlineStr">
        <is>
          <t>DOM-011</t>
        </is>
      </c>
      <c r="B79" s="2" t="inlineStr">
        <is>
          <t>DOM-009</t>
        </is>
      </c>
      <c r="C79" s="2">
        <f>IFERROR(INDEX(Issues!$L$2:$L$245,MATCH(A79,Issues!$A$2:$A$245,0)),"")</f>
        <v/>
      </c>
      <c r="D79" s="2">
        <f>IFERROR(INDEX(Issues!$L$2:$L$245,MATCH(B79,Issues!$A$2:$A$245,0)),"")</f>
        <v/>
      </c>
      <c r="E79" s="2">
        <f>IF(AND(C79&lt;&gt;"Done",D79&lt;&gt;"Done"),"Yes","No")</f>
        <v/>
      </c>
    </row>
    <row r="80">
      <c r="A80" s="2" t="inlineStr">
        <is>
          <t>DOM-011</t>
        </is>
      </c>
      <c r="B80" s="2" t="inlineStr">
        <is>
          <t>SC-015</t>
        </is>
      </c>
      <c r="C80" s="2">
        <f>IFERROR(INDEX(Issues!$L$2:$L$245,MATCH(A80,Issues!$A$2:$A$245,0)),"")</f>
        <v/>
      </c>
      <c r="D80" s="2">
        <f>IFERROR(INDEX(Issues!$L$2:$L$245,MATCH(B80,Issues!$A$2:$A$245,0)),"")</f>
        <v/>
      </c>
      <c r="E80" s="2">
        <f>IF(AND(C80&lt;&gt;"Done",D80&lt;&gt;"Done"),"Yes","No")</f>
        <v/>
      </c>
    </row>
    <row r="81">
      <c r="A81" s="2" t="inlineStr">
        <is>
          <t>DOM-012</t>
        </is>
      </c>
      <c r="B81" s="2" t="inlineStr">
        <is>
          <t>DOM-011</t>
        </is>
      </c>
      <c r="C81" s="2">
        <f>IFERROR(INDEX(Issues!$L$2:$L$245,MATCH(A81,Issues!$A$2:$A$245,0)),"")</f>
        <v/>
      </c>
      <c r="D81" s="2">
        <f>IFERROR(INDEX(Issues!$L$2:$L$245,MATCH(B81,Issues!$A$2:$A$245,0)),"")</f>
        <v/>
      </c>
      <c r="E81" s="2">
        <f>IF(AND(C81&lt;&gt;"Done",D81&lt;&gt;"Done"),"Yes","No")</f>
        <v/>
      </c>
    </row>
    <row r="82">
      <c r="A82" s="2" t="inlineStr">
        <is>
          <t>DOM-013</t>
        </is>
      </c>
      <c r="B82" s="2" t="inlineStr">
        <is>
          <t>DOM-008</t>
        </is>
      </c>
      <c r="C82" s="2">
        <f>IFERROR(INDEX(Issues!$L$2:$L$245,MATCH(A82,Issues!$A$2:$A$245,0)),"")</f>
        <v/>
      </c>
      <c r="D82" s="2">
        <f>IFERROR(INDEX(Issues!$L$2:$L$245,MATCH(B82,Issues!$A$2:$A$245,0)),"")</f>
        <v/>
      </c>
      <c r="E82" s="2">
        <f>IF(AND(C82&lt;&gt;"Done",D82&lt;&gt;"Done"),"Yes","No")</f>
        <v/>
      </c>
    </row>
    <row r="83">
      <c r="A83" s="2" t="inlineStr">
        <is>
          <t>DOM-014</t>
        </is>
      </c>
      <c r="B83" s="2" t="inlineStr">
        <is>
          <t>DEV-008</t>
        </is>
      </c>
      <c r="C83" s="2">
        <f>IFERROR(INDEX(Issues!$L$2:$L$245,MATCH(A83,Issues!$A$2:$A$245,0)),"")</f>
        <v/>
      </c>
      <c r="D83" s="2">
        <f>IFERROR(INDEX(Issues!$L$2:$L$245,MATCH(B83,Issues!$A$2:$A$245,0)),"")</f>
        <v/>
      </c>
      <c r="E83" s="2">
        <f>IF(AND(C83&lt;&gt;"Done",D83&lt;&gt;"Done"),"Yes","No")</f>
        <v/>
      </c>
    </row>
    <row r="84">
      <c r="A84" s="2" t="inlineStr">
        <is>
          <t>ENG-001</t>
        </is>
      </c>
      <c r="B84" s="2" t="inlineStr">
        <is>
          <t>DEV-001</t>
        </is>
      </c>
      <c r="C84" s="2">
        <f>IFERROR(INDEX(Issues!$L$2:$L$245,MATCH(A84,Issues!$A$2:$A$245,0)),"")</f>
        <v/>
      </c>
      <c r="D84" s="2">
        <f>IFERROR(INDEX(Issues!$L$2:$L$245,MATCH(B84,Issues!$A$2:$A$245,0)),"")</f>
        <v/>
      </c>
      <c r="E84" s="2">
        <f>IF(AND(C84&lt;&gt;"Done",D84&lt;&gt;"Done"),"Yes","No")</f>
        <v/>
      </c>
    </row>
    <row r="85">
      <c r="A85" s="2" t="inlineStr">
        <is>
          <t>ENG-002</t>
        </is>
      </c>
      <c r="B85" s="2" t="inlineStr">
        <is>
          <t>ENG-001</t>
        </is>
      </c>
      <c r="C85" s="2">
        <f>IFERROR(INDEX(Issues!$L$2:$L$245,MATCH(A85,Issues!$A$2:$A$245,0)),"")</f>
        <v/>
      </c>
      <c r="D85" s="2">
        <f>IFERROR(INDEX(Issues!$L$2:$L$245,MATCH(B85,Issues!$A$2:$A$245,0)),"")</f>
        <v/>
      </c>
      <c r="E85" s="2">
        <f>IF(AND(C85&lt;&gt;"Done",D85&lt;&gt;"Done"),"Yes","No")</f>
        <v/>
      </c>
    </row>
    <row r="86">
      <c r="A86" s="2" t="inlineStr">
        <is>
          <t>ENG-003</t>
        </is>
      </c>
      <c r="B86" s="2" t="inlineStr">
        <is>
          <t>ENG-002</t>
        </is>
      </c>
      <c r="C86" s="2">
        <f>IFERROR(INDEX(Issues!$L$2:$L$245,MATCH(A86,Issues!$A$2:$A$245,0)),"")</f>
        <v/>
      </c>
      <c r="D86" s="2">
        <f>IFERROR(INDEX(Issues!$L$2:$L$245,MATCH(B86,Issues!$A$2:$A$245,0)),"")</f>
        <v/>
      </c>
      <c r="E86" s="2">
        <f>IF(AND(C86&lt;&gt;"Done",D86&lt;&gt;"Done"),"Yes","No")</f>
        <v/>
      </c>
    </row>
    <row r="87">
      <c r="A87" s="2" t="inlineStr">
        <is>
          <t>ENG-004</t>
        </is>
      </c>
      <c r="B87" s="2" t="inlineStr">
        <is>
          <t>ENG-003</t>
        </is>
      </c>
      <c r="C87" s="2">
        <f>IFERROR(INDEX(Issues!$L$2:$L$245,MATCH(A87,Issues!$A$2:$A$245,0)),"")</f>
        <v/>
      </c>
      <c r="D87" s="2">
        <f>IFERROR(INDEX(Issues!$L$2:$L$245,MATCH(B87,Issues!$A$2:$A$245,0)),"")</f>
        <v/>
      </c>
      <c r="E87" s="2">
        <f>IF(AND(C87&lt;&gt;"Done",D87&lt;&gt;"Done"),"Yes","No")</f>
        <v/>
      </c>
    </row>
    <row r="88">
      <c r="A88" s="2" t="inlineStr">
        <is>
          <t>ENG-005</t>
        </is>
      </c>
      <c r="B88" s="2" t="inlineStr">
        <is>
          <t>ENG-001</t>
        </is>
      </c>
      <c r="C88" s="2">
        <f>IFERROR(INDEX(Issues!$L$2:$L$245,MATCH(A88,Issues!$A$2:$A$245,0)),"")</f>
        <v/>
      </c>
      <c r="D88" s="2">
        <f>IFERROR(INDEX(Issues!$L$2:$L$245,MATCH(B88,Issues!$A$2:$A$245,0)),"")</f>
        <v/>
      </c>
      <c r="E88" s="2">
        <f>IF(AND(C88&lt;&gt;"Done",D88&lt;&gt;"Done"),"Yes","No")</f>
        <v/>
      </c>
    </row>
    <row r="89">
      <c r="A89" s="2" t="inlineStr">
        <is>
          <t>ENG-006</t>
        </is>
      </c>
      <c r="B89" s="2" t="inlineStr">
        <is>
          <t>ENG-003</t>
        </is>
      </c>
      <c r="C89" s="2">
        <f>IFERROR(INDEX(Issues!$L$2:$L$245,MATCH(A89,Issues!$A$2:$A$245,0)),"")</f>
        <v/>
      </c>
      <c r="D89" s="2">
        <f>IFERROR(INDEX(Issues!$L$2:$L$245,MATCH(B89,Issues!$A$2:$A$245,0)),"")</f>
        <v/>
      </c>
      <c r="E89" s="2">
        <f>IF(AND(C89&lt;&gt;"Done",D89&lt;&gt;"Done"),"Yes","No")</f>
        <v/>
      </c>
    </row>
    <row r="90">
      <c r="A90" s="2" t="inlineStr">
        <is>
          <t>ENG-006</t>
        </is>
      </c>
      <c r="B90" s="2" t="inlineStr">
        <is>
          <t>ENG-005</t>
        </is>
      </c>
      <c r="C90" s="2">
        <f>IFERROR(INDEX(Issues!$L$2:$L$245,MATCH(A90,Issues!$A$2:$A$245,0)),"")</f>
        <v/>
      </c>
      <c r="D90" s="2">
        <f>IFERROR(INDEX(Issues!$L$2:$L$245,MATCH(B90,Issues!$A$2:$A$245,0)),"")</f>
        <v/>
      </c>
      <c r="E90" s="2">
        <f>IF(AND(C90&lt;&gt;"Done",D90&lt;&gt;"Done"),"Yes","No")</f>
        <v/>
      </c>
    </row>
    <row r="91">
      <c r="A91" s="2" t="inlineStr">
        <is>
          <t>ENG-007</t>
        </is>
      </c>
      <c r="B91" s="2" t="inlineStr">
        <is>
          <t>ENG-006</t>
        </is>
      </c>
      <c r="C91" s="2">
        <f>IFERROR(INDEX(Issues!$L$2:$L$245,MATCH(A91,Issues!$A$2:$A$245,0)),"")</f>
        <v/>
      </c>
      <c r="D91" s="2">
        <f>IFERROR(INDEX(Issues!$L$2:$L$245,MATCH(B91,Issues!$A$2:$A$245,0)),"")</f>
        <v/>
      </c>
      <c r="E91" s="2">
        <f>IF(AND(C91&lt;&gt;"Done",D91&lt;&gt;"Done"),"Yes","No")</f>
        <v/>
      </c>
    </row>
    <row r="92">
      <c r="A92" s="2" t="inlineStr">
        <is>
          <t>ENG-007</t>
        </is>
      </c>
      <c r="B92" s="2" t="inlineStr">
        <is>
          <t>ENG-012</t>
        </is>
      </c>
      <c r="C92" s="2">
        <f>IFERROR(INDEX(Issues!$L$2:$L$245,MATCH(A92,Issues!$A$2:$A$245,0)),"")</f>
        <v/>
      </c>
      <c r="D92" s="2">
        <f>IFERROR(INDEX(Issues!$L$2:$L$245,MATCH(B92,Issues!$A$2:$A$245,0)),"")</f>
        <v/>
      </c>
      <c r="E92" s="2">
        <f>IF(AND(C92&lt;&gt;"Done",D92&lt;&gt;"Done"),"Yes","No")</f>
        <v/>
      </c>
    </row>
    <row r="93">
      <c r="A93" s="2" t="inlineStr">
        <is>
          <t>ENG-008</t>
        </is>
      </c>
      <c r="B93" s="2" t="inlineStr">
        <is>
          <t>ENG-007</t>
        </is>
      </c>
      <c r="C93" s="2">
        <f>IFERROR(INDEX(Issues!$L$2:$L$245,MATCH(A93,Issues!$A$2:$A$245,0)),"")</f>
        <v/>
      </c>
      <c r="D93" s="2">
        <f>IFERROR(INDEX(Issues!$L$2:$L$245,MATCH(B93,Issues!$A$2:$A$245,0)),"")</f>
        <v/>
      </c>
      <c r="E93" s="2">
        <f>IF(AND(C93&lt;&gt;"Done",D93&lt;&gt;"Done"),"Yes","No")</f>
        <v/>
      </c>
    </row>
    <row r="94">
      <c r="A94" s="2" t="inlineStr">
        <is>
          <t>ENG-009</t>
        </is>
      </c>
      <c r="B94" s="2" t="inlineStr">
        <is>
          <t>ENG-001</t>
        </is>
      </c>
      <c r="C94" s="2">
        <f>IFERROR(INDEX(Issues!$L$2:$L$245,MATCH(A94,Issues!$A$2:$A$245,0)),"")</f>
        <v/>
      </c>
      <c r="D94" s="2">
        <f>IFERROR(INDEX(Issues!$L$2:$L$245,MATCH(B94,Issues!$A$2:$A$245,0)),"")</f>
        <v/>
      </c>
      <c r="E94" s="2">
        <f>IF(AND(C94&lt;&gt;"Done",D94&lt;&gt;"Done"),"Yes","No")</f>
        <v/>
      </c>
    </row>
    <row r="95">
      <c r="A95" s="2" t="inlineStr">
        <is>
          <t>ENG-010</t>
        </is>
      </c>
      <c r="B95" s="2" t="inlineStr">
        <is>
          <t>SC-017</t>
        </is>
      </c>
      <c r="C95" s="2">
        <f>IFERROR(INDEX(Issues!$L$2:$L$245,MATCH(A95,Issues!$A$2:$A$245,0)),"")</f>
        <v/>
      </c>
      <c r="D95" s="2">
        <f>IFERROR(INDEX(Issues!$L$2:$L$245,MATCH(B95,Issues!$A$2:$A$245,0)),"")</f>
        <v/>
      </c>
      <c r="E95" s="2">
        <f>IF(AND(C95&lt;&gt;"Done",D95&lt;&gt;"Done"),"Yes","No")</f>
        <v/>
      </c>
    </row>
    <row r="96">
      <c r="A96" s="2" t="inlineStr">
        <is>
          <t>ENG-010</t>
        </is>
      </c>
      <c r="B96" s="2" t="inlineStr">
        <is>
          <t>ENG-001</t>
        </is>
      </c>
      <c r="C96" s="2">
        <f>IFERROR(INDEX(Issues!$L$2:$L$245,MATCH(A96,Issues!$A$2:$A$245,0)),"")</f>
        <v/>
      </c>
      <c r="D96" s="2">
        <f>IFERROR(INDEX(Issues!$L$2:$L$245,MATCH(B96,Issues!$A$2:$A$245,0)),"")</f>
        <v/>
      </c>
      <c r="E96" s="2">
        <f>IF(AND(C96&lt;&gt;"Done",D96&lt;&gt;"Done"),"Yes","No")</f>
        <v/>
      </c>
    </row>
    <row r="97">
      <c r="A97" s="2" t="inlineStr">
        <is>
          <t>ENG-011</t>
        </is>
      </c>
      <c r="B97" s="2" t="inlineStr">
        <is>
          <t>ENG-003</t>
        </is>
      </c>
      <c r="C97" s="2">
        <f>IFERROR(INDEX(Issues!$L$2:$L$245,MATCH(A97,Issues!$A$2:$A$245,0)),"")</f>
        <v/>
      </c>
      <c r="D97" s="2">
        <f>IFERROR(INDEX(Issues!$L$2:$L$245,MATCH(B97,Issues!$A$2:$A$245,0)),"")</f>
        <v/>
      </c>
      <c r="E97" s="2">
        <f>IF(AND(C97&lt;&gt;"Done",D97&lt;&gt;"Done"),"Yes","No")</f>
        <v/>
      </c>
    </row>
    <row r="98">
      <c r="A98" s="2" t="inlineStr">
        <is>
          <t>ENG-012</t>
        </is>
      </c>
      <c r="B98" s="2" t="inlineStr">
        <is>
          <t>ENG-006</t>
        </is>
      </c>
      <c r="C98" s="2">
        <f>IFERROR(INDEX(Issues!$L$2:$L$245,MATCH(A98,Issues!$A$2:$A$245,0)),"")</f>
        <v/>
      </c>
      <c r="D98" s="2">
        <f>IFERROR(INDEX(Issues!$L$2:$L$245,MATCH(B98,Issues!$A$2:$A$245,0)),"")</f>
        <v/>
      </c>
      <c r="E98" s="2">
        <f>IF(AND(C98&lt;&gt;"Done",D98&lt;&gt;"Done"),"Yes","No")</f>
        <v/>
      </c>
    </row>
    <row r="99">
      <c r="A99" s="2" t="inlineStr">
        <is>
          <t>ENG-013</t>
        </is>
      </c>
      <c r="B99" s="2" t="inlineStr">
        <is>
          <t>ENG-002</t>
        </is>
      </c>
      <c r="C99" s="2">
        <f>IFERROR(INDEX(Issues!$L$2:$L$245,MATCH(A99,Issues!$A$2:$A$245,0)),"")</f>
        <v/>
      </c>
      <c r="D99" s="2">
        <f>IFERROR(INDEX(Issues!$L$2:$L$245,MATCH(B99,Issues!$A$2:$A$245,0)),"")</f>
        <v/>
      </c>
      <c r="E99" s="2">
        <f>IF(AND(C99&lt;&gt;"Done",D99&lt;&gt;"Done"),"Yes","No")</f>
        <v/>
      </c>
    </row>
    <row r="100">
      <c r="A100" s="2" t="inlineStr">
        <is>
          <t>ENG-013</t>
        </is>
      </c>
      <c r="B100" s="2" t="inlineStr">
        <is>
          <t>ENG-005</t>
        </is>
      </c>
      <c r="C100" s="2">
        <f>IFERROR(INDEX(Issues!$L$2:$L$245,MATCH(A100,Issues!$A$2:$A$245,0)),"")</f>
        <v/>
      </c>
      <c r="D100" s="2">
        <f>IFERROR(INDEX(Issues!$L$2:$L$245,MATCH(B100,Issues!$A$2:$A$245,0)),"")</f>
        <v/>
      </c>
      <c r="E100" s="2">
        <f>IF(AND(C100&lt;&gt;"Done",D100&lt;&gt;"Done"),"Yes","No")</f>
        <v/>
      </c>
    </row>
    <row r="101">
      <c r="A101" s="2" t="inlineStr">
        <is>
          <t>ENG-014</t>
        </is>
      </c>
      <c r="B101" s="2" t="inlineStr">
        <is>
          <t>ENG-013</t>
        </is>
      </c>
      <c r="C101" s="2">
        <f>IFERROR(INDEX(Issues!$L$2:$L$245,MATCH(A101,Issues!$A$2:$A$245,0)),"")</f>
        <v/>
      </c>
      <c r="D101" s="2">
        <f>IFERROR(INDEX(Issues!$L$2:$L$245,MATCH(B101,Issues!$A$2:$A$245,0)),"")</f>
        <v/>
      </c>
      <c r="E101" s="2">
        <f>IF(AND(C101&lt;&gt;"Done",D101&lt;&gt;"Done"),"Yes","No")</f>
        <v/>
      </c>
    </row>
    <row r="102">
      <c r="A102" s="2" t="inlineStr">
        <is>
          <t>ENG-L01</t>
        </is>
      </c>
      <c r="B102" s="2" t="inlineStr">
        <is>
          <t>ENG-007</t>
        </is>
      </c>
      <c r="C102" s="2">
        <f>IFERROR(INDEX(Issues!$L$2:$L$245,MATCH(A102,Issues!$A$2:$A$245,0)),"")</f>
        <v/>
      </c>
      <c r="D102" s="2">
        <f>IFERROR(INDEX(Issues!$L$2:$L$245,MATCH(B102,Issues!$A$2:$A$245,0)),"")</f>
        <v/>
      </c>
      <c r="E102" s="2">
        <f>IF(AND(C102&lt;&gt;"Done",D102&lt;&gt;"Done"),"Yes","No")</f>
        <v/>
      </c>
    </row>
    <row r="103">
      <c r="A103" s="2" t="inlineStr">
        <is>
          <t>ENG-L01</t>
        </is>
      </c>
      <c r="B103" s="2" t="inlineStr">
        <is>
          <t>SC-L06</t>
        </is>
      </c>
      <c r="C103" s="2">
        <f>IFERROR(INDEX(Issues!$L$2:$L$245,MATCH(A103,Issues!$A$2:$A$245,0)),"")</f>
        <v/>
      </c>
      <c r="D103" s="2">
        <f>IFERROR(INDEX(Issues!$L$2:$L$245,MATCH(B103,Issues!$A$2:$A$245,0)),"")</f>
        <v/>
      </c>
      <c r="E103" s="2">
        <f>IF(AND(C103&lt;&gt;"Done",D103&lt;&gt;"Done"),"Yes","No")</f>
        <v/>
      </c>
    </row>
    <row r="104">
      <c r="A104" s="2" t="inlineStr">
        <is>
          <t>ENG-L02</t>
        </is>
      </c>
      <c r="B104" s="2" t="inlineStr">
        <is>
          <t>ENG-005</t>
        </is>
      </c>
      <c r="C104" s="2">
        <f>IFERROR(INDEX(Issues!$L$2:$L$245,MATCH(A104,Issues!$A$2:$A$245,0)),"")</f>
        <v/>
      </c>
      <c r="D104" s="2">
        <f>IFERROR(INDEX(Issues!$L$2:$L$245,MATCH(B104,Issues!$A$2:$A$245,0)),"")</f>
        <v/>
      </c>
      <c r="E104" s="2">
        <f>IF(AND(C104&lt;&gt;"Done",D104&lt;&gt;"Done"),"Yes","No")</f>
        <v/>
      </c>
    </row>
    <row r="105">
      <c r="A105" s="2" t="inlineStr">
        <is>
          <t>ENG-L03</t>
        </is>
      </c>
      <c r="B105" s="2" t="inlineStr">
        <is>
          <t>ENG-007</t>
        </is>
      </c>
      <c r="C105" s="2">
        <f>IFERROR(INDEX(Issues!$L$2:$L$245,MATCH(A105,Issues!$A$2:$A$245,0)),"")</f>
        <v/>
      </c>
      <c r="D105" s="2">
        <f>IFERROR(INDEX(Issues!$L$2:$L$245,MATCH(B105,Issues!$A$2:$A$245,0)),"")</f>
        <v/>
      </c>
      <c r="E105" s="2">
        <f>IF(AND(C105&lt;&gt;"Done",D105&lt;&gt;"Done"),"Yes","No")</f>
        <v/>
      </c>
    </row>
    <row r="106">
      <c r="A106" s="2" t="inlineStr">
        <is>
          <t>EXE-001</t>
        </is>
      </c>
      <c r="B106" s="2" t="inlineStr">
        <is>
          <t>INV-001</t>
        </is>
      </c>
      <c r="C106" s="2">
        <f>IFERROR(INDEX(Issues!$L$2:$L$245,MATCH(A106,Issues!$A$2:$A$245,0)),"")</f>
        <v/>
      </c>
      <c r="D106" s="2">
        <f>IFERROR(INDEX(Issues!$L$2:$L$245,MATCH(B106,Issues!$A$2:$A$245,0)),"")</f>
        <v/>
      </c>
      <c r="E106" s="2">
        <f>IF(AND(C106&lt;&gt;"Done",D106&lt;&gt;"Done"),"Yes","No")</f>
        <v/>
      </c>
    </row>
    <row r="107">
      <c r="A107" s="2" t="inlineStr">
        <is>
          <t>EXE-002</t>
        </is>
      </c>
      <c r="B107" s="2" t="inlineStr">
        <is>
          <t>DEV-002</t>
        </is>
      </c>
      <c r="C107" s="2">
        <f>IFERROR(INDEX(Issues!$L$2:$L$245,MATCH(A107,Issues!$A$2:$A$245,0)),"")</f>
        <v/>
      </c>
      <c r="D107" s="2">
        <f>IFERROR(INDEX(Issues!$L$2:$L$245,MATCH(B107,Issues!$A$2:$A$245,0)),"")</f>
        <v/>
      </c>
      <c r="E107" s="2">
        <f>IF(AND(C107&lt;&gt;"Done",D107&lt;&gt;"Done"),"Yes","No")</f>
        <v/>
      </c>
    </row>
    <row r="108">
      <c r="A108" s="2" t="inlineStr">
        <is>
          <t>EXE-003</t>
        </is>
      </c>
      <c r="B108" s="2" t="inlineStr">
        <is>
          <t>EXE-002</t>
        </is>
      </c>
      <c r="C108" s="2">
        <f>IFERROR(INDEX(Issues!$L$2:$L$245,MATCH(A108,Issues!$A$2:$A$245,0)),"")</f>
        <v/>
      </c>
      <c r="D108" s="2">
        <f>IFERROR(INDEX(Issues!$L$2:$L$245,MATCH(B108,Issues!$A$2:$A$245,0)),"")</f>
        <v/>
      </c>
      <c r="E108" s="2">
        <f>IF(AND(C108&lt;&gt;"Done",D108&lt;&gt;"Done"),"Yes","No")</f>
        <v/>
      </c>
    </row>
    <row r="109">
      <c r="A109" s="2" t="inlineStr">
        <is>
          <t>EXE-003</t>
        </is>
      </c>
      <c r="B109" s="2" t="inlineStr">
        <is>
          <t>INV-010</t>
        </is>
      </c>
      <c r="C109" s="2">
        <f>IFERROR(INDEX(Issues!$L$2:$L$245,MATCH(A109,Issues!$A$2:$A$245,0)),"")</f>
        <v/>
      </c>
      <c r="D109" s="2">
        <f>IFERROR(INDEX(Issues!$L$2:$L$245,MATCH(B109,Issues!$A$2:$A$245,0)),"")</f>
        <v/>
      </c>
      <c r="E109" s="2">
        <f>IF(AND(C109&lt;&gt;"Done",D109&lt;&gt;"Done"),"Yes","No")</f>
        <v/>
      </c>
    </row>
    <row r="110">
      <c r="A110" s="2" t="inlineStr">
        <is>
          <t>EXE-003</t>
        </is>
      </c>
      <c r="B110" s="2" t="inlineStr">
        <is>
          <t>MDT-007</t>
        </is>
      </c>
      <c r="C110" s="2">
        <f>IFERROR(INDEX(Issues!$L$2:$L$245,MATCH(A110,Issues!$A$2:$A$245,0)),"")</f>
        <v/>
      </c>
      <c r="D110" s="2">
        <f>IFERROR(INDEX(Issues!$L$2:$L$245,MATCH(B110,Issues!$A$2:$A$245,0)),"")</f>
        <v/>
      </c>
      <c r="E110" s="2">
        <f>IF(AND(C110&lt;&gt;"Done",D110&lt;&gt;"Done"),"Yes","No")</f>
        <v/>
      </c>
    </row>
    <row r="111">
      <c r="A111" s="2" t="inlineStr">
        <is>
          <t>EXE-003</t>
        </is>
      </c>
      <c r="B111" s="2" t="inlineStr">
        <is>
          <t>TRS-007</t>
        </is>
      </c>
      <c r="C111" s="2">
        <f>IFERROR(INDEX(Issues!$L$2:$L$245,MATCH(A111,Issues!$A$2:$A$245,0)),"")</f>
        <v/>
      </c>
      <c r="D111" s="2">
        <f>IFERROR(INDEX(Issues!$L$2:$L$245,MATCH(B111,Issues!$A$2:$A$245,0)),"")</f>
        <v/>
      </c>
      <c r="E111" s="2">
        <f>IF(AND(C111&lt;&gt;"Done",D111&lt;&gt;"Done"),"Yes","No")</f>
        <v/>
      </c>
    </row>
    <row r="112">
      <c r="A112" s="2" t="inlineStr">
        <is>
          <t>EXE-004</t>
        </is>
      </c>
      <c r="B112" s="2" t="inlineStr">
        <is>
          <t>EXE-003</t>
        </is>
      </c>
      <c r="C112" s="2">
        <f>IFERROR(INDEX(Issues!$L$2:$L$245,MATCH(A112,Issues!$A$2:$A$245,0)),"")</f>
        <v/>
      </c>
      <c r="D112" s="2">
        <f>IFERROR(INDEX(Issues!$L$2:$L$245,MATCH(B112,Issues!$A$2:$A$245,0)),"")</f>
        <v/>
      </c>
      <c r="E112" s="2">
        <f>IF(AND(C112&lt;&gt;"Done",D112&lt;&gt;"Done"),"Yes","No")</f>
        <v/>
      </c>
    </row>
    <row r="113">
      <c r="A113" s="2" t="inlineStr">
        <is>
          <t>EXE-004</t>
        </is>
      </c>
      <c r="B113" s="2" t="inlineStr">
        <is>
          <t>CHR-002</t>
        </is>
      </c>
      <c r="C113" s="2">
        <f>IFERROR(INDEX(Issues!$L$2:$L$245,MATCH(A113,Issues!$A$2:$A$245,0)),"")</f>
        <v/>
      </c>
      <c r="D113" s="2">
        <f>IFERROR(INDEX(Issues!$L$2:$L$245,MATCH(B113,Issues!$A$2:$A$245,0)),"")</f>
        <v/>
      </c>
      <c r="E113" s="2">
        <f>IF(AND(C113&lt;&gt;"Done",D113&lt;&gt;"Done"),"Yes","No")</f>
        <v/>
      </c>
    </row>
    <row r="114">
      <c r="A114" s="2" t="inlineStr">
        <is>
          <t>EXE-004</t>
        </is>
      </c>
      <c r="B114" s="2" t="inlineStr">
        <is>
          <t>ENG-008</t>
        </is>
      </c>
      <c r="C114" s="2">
        <f>IFERROR(INDEX(Issues!$L$2:$L$245,MATCH(A114,Issues!$A$2:$A$245,0)),"")</f>
        <v/>
      </c>
      <c r="D114" s="2">
        <f>IFERROR(INDEX(Issues!$L$2:$L$245,MATCH(B114,Issues!$A$2:$A$245,0)),"")</f>
        <v/>
      </c>
      <c r="E114" s="2">
        <f>IF(AND(C114&lt;&gt;"Done",D114&lt;&gt;"Done"),"Yes","No")</f>
        <v/>
      </c>
    </row>
    <row r="115">
      <c r="A115" s="2" t="inlineStr">
        <is>
          <t>EXE-004</t>
        </is>
      </c>
      <c r="B115" s="2" t="inlineStr">
        <is>
          <t>POL-006</t>
        </is>
      </c>
      <c r="C115" s="2">
        <f>IFERROR(INDEX(Issues!$L$2:$L$245,MATCH(A115,Issues!$A$2:$A$245,0)),"")</f>
        <v/>
      </c>
      <c r="D115" s="2">
        <f>IFERROR(INDEX(Issues!$L$2:$L$245,MATCH(B115,Issues!$A$2:$A$245,0)),"")</f>
        <v/>
      </c>
      <c r="E115" s="2">
        <f>IF(AND(C115&lt;&gt;"Done",D115&lt;&gt;"Done"),"Yes","No")</f>
        <v/>
      </c>
    </row>
    <row r="116">
      <c r="A116" s="2" t="inlineStr">
        <is>
          <t>EXE-004</t>
        </is>
      </c>
      <c r="B116" s="2" t="inlineStr">
        <is>
          <t>AGT-009</t>
        </is>
      </c>
      <c r="C116" s="2">
        <f>IFERROR(INDEX(Issues!$L$2:$L$245,MATCH(A116,Issues!$A$2:$A$245,0)),"")</f>
        <v/>
      </c>
      <c r="D116" s="2">
        <f>IFERROR(INDEX(Issues!$L$2:$L$245,MATCH(B116,Issues!$A$2:$A$245,0)),"")</f>
        <v/>
      </c>
      <c r="E116" s="2">
        <f>IF(AND(C116&lt;&gt;"Done",D116&lt;&gt;"Done"),"Yes","No")</f>
        <v/>
      </c>
    </row>
    <row r="117">
      <c r="A117" s="2" t="inlineStr">
        <is>
          <t>EXE-004</t>
        </is>
      </c>
      <c r="B117" s="2" t="inlineStr">
        <is>
          <t>EXE-012</t>
        </is>
      </c>
      <c r="C117" s="2">
        <f>IFERROR(INDEX(Issues!$L$2:$L$245,MATCH(A117,Issues!$A$2:$A$245,0)),"")</f>
        <v/>
      </c>
      <c r="D117" s="2">
        <f>IFERROR(INDEX(Issues!$L$2:$L$245,MATCH(B117,Issues!$A$2:$A$245,0)),"")</f>
        <v/>
      </c>
      <c r="E117" s="2">
        <f>IF(AND(C117&lt;&gt;"Done",D117&lt;&gt;"Done"),"Yes","No")</f>
        <v/>
      </c>
    </row>
    <row r="118">
      <c r="A118" s="2" t="inlineStr">
        <is>
          <t>EXE-005</t>
        </is>
      </c>
      <c r="B118" s="2" t="inlineStr">
        <is>
          <t>POL-006</t>
        </is>
      </c>
      <c r="C118" s="2">
        <f>IFERROR(INDEX(Issues!$L$2:$L$245,MATCH(A118,Issues!$A$2:$A$245,0)),"")</f>
        <v/>
      </c>
      <c r="D118" s="2">
        <f>IFERROR(INDEX(Issues!$L$2:$L$245,MATCH(B118,Issues!$A$2:$A$245,0)),"")</f>
        <v/>
      </c>
      <c r="E118" s="2">
        <f>IF(AND(C118&lt;&gt;"Done",D118&lt;&gt;"Done"),"Yes","No")</f>
        <v/>
      </c>
    </row>
    <row r="119">
      <c r="A119" s="2" t="inlineStr">
        <is>
          <t>EXE-005</t>
        </is>
      </c>
      <c r="B119" s="2" t="inlineStr">
        <is>
          <t>POL-007</t>
        </is>
      </c>
      <c r="C119" s="2">
        <f>IFERROR(INDEX(Issues!$L$2:$L$245,MATCH(A119,Issues!$A$2:$A$245,0)),"")</f>
        <v/>
      </c>
      <c r="D119" s="2">
        <f>IFERROR(INDEX(Issues!$L$2:$L$245,MATCH(B119,Issues!$A$2:$A$245,0)),"")</f>
        <v/>
      </c>
      <c r="E119" s="2">
        <f>IF(AND(C119&lt;&gt;"Done",D119&lt;&gt;"Done"),"Yes","No")</f>
        <v/>
      </c>
    </row>
    <row r="120">
      <c r="A120" s="2" t="inlineStr">
        <is>
          <t>EXE-005</t>
        </is>
      </c>
      <c r="B120" s="2" t="inlineStr">
        <is>
          <t>SC-016</t>
        </is>
      </c>
      <c r="C120" s="2">
        <f>IFERROR(INDEX(Issues!$L$2:$L$245,MATCH(A120,Issues!$A$2:$A$245,0)),"")</f>
        <v/>
      </c>
      <c r="D120" s="2">
        <f>IFERROR(INDEX(Issues!$L$2:$L$245,MATCH(B120,Issues!$A$2:$A$245,0)),"")</f>
        <v/>
      </c>
      <c r="E120" s="2">
        <f>IF(AND(C120&lt;&gt;"Done",D120&lt;&gt;"Done"),"Yes","No")</f>
        <v/>
      </c>
    </row>
    <row r="121">
      <c r="A121" s="2" t="inlineStr">
        <is>
          <t>EXE-006</t>
        </is>
      </c>
      <c r="B121" s="2" t="inlineStr">
        <is>
          <t>EXE-005</t>
        </is>
      </c>
      <c r="C121" s="2">
        <f>IFERROR(INDEX(Issues!$L$2:$L$245,MATCH(A121,Issues!$A$2:$A$245,0)),"")</f>
        <v/>
      </c>
      <c r="D121" s="2">
        <f>IFERROR(INDEX(Issues!$L$2:$L$245,MATCH(B121,Issues!$A$2:$A$245,0)),"")</f>
        <v/>
      </c>
      <c r="E121" s="2">
        <f>IF(AND(C121&lt;&gt;"Done",D121&lt;&gt;"Done"),"Yes","No")</f>
        <v/>
      </c>
    </row>
    <row r="122">
      <c r="A122" s="2" t="inlineStr">
        <is>
          <t>EXE-007</t>
        </is>
      </c>
      <c r="B122" s="2" t="inlineStr">
        <is>
          <t>EXE-005</t>
        </is>
      </c>
      <c r="C122" s="2">
        <f>IFERROR(INDEX(Issues!$L$2:$L$245,MATCH(A122,Issues!$A$2:$A$245,0)),"")</f>
        <v/>
      </c>
      <c r="D122" s="2">
        <f>IFERROR(INDEX(Issues!$L$2:$L$245,MATCH(B122,Issues!$A$2:$A$245,0)),"")</f>
        <v/>
      </c>
      <c r="E122" s="2">
        <f>IF(AND(C122&lt;&gt;"Done",D122&lt;&gt;"Done"),"Yes","No")</f>
        <v/>
      </c>
    </row>
    <row r="123">
      <c r="A123" s="2" t="inlineStr">
        <is>
          <t>EXE-007</t>
        </is>
      </c>
      <c r="B123" s="2" t="inlineStr">
        <is>
          <t>EXE-001</t>
        </is>
      </c>
      <c r="C123" s="2">
        <f>IFERROR(INDEX(Issues!$L$2:$L$245,MATCH(A123,Issues!$A$2:$A$245,0)),"")</f>
        <v/>
      </c>
      <c r="D123" s="2">
        <f>IFERROR(INDEX(Issues!$L$2:$L$245,MATCH(B123,Issues!$A$2:$A$245,0)),"")</f>
        <v/>
      </c>
      <c r="E123" s="2">
        <f>IF(AND(C123&lt;&gt;"Done",D123&lt;&gt;"Done"),"Yes","No")</f>
        <v/>
      </c>
    </row>
    <row r="124">
      <c r="A124" s="2" t="inlineStr">
        <is>
          <t>EXE-008</t>
        </is>
      </c>
      <c r="B124" s="2" t="inlineStr">
        <is>
          <t>EXE-007</t>
        </is>
      </c>
      <c r="C124" s="2">
        <f>IFERROR(INDEX(Issues!$L$2:$L$245,MATCH(A124,Issues!$A$2:$A$245,0)),"")</f>
        <v/>
      </c>
      <c r="D124" s="2">
        <f>IFERROR(INDEX(Issues!$L$2:$L$245,MATCH(B124,Issues!$A$2:$A$245,0)),"")</f>
        <v/>
      </c>
      <c r="E124" s="2">
        <f>IF(AND(C124&lt;&gt;"Done",D124&lt;&gt;"Done"),"Yes","No")</f>
        <v/>
      </c>
    </row>
    <row r="125">
      <c r="A125" s="2" t="inlineStr">
        <is>
          <t>EXE-008</t>
        </is>
      </c>
      <c r="B125" s="2" t="inlineStr">
        <is>
          <t>CHR-003</t>
        </is>
      </c>
      <c r="C125" s="2">
        <f>IFERROR(INDEX(Issues!$L$2:$L$245,MATCH(A125,Issues!$A$2:$A$245,0)),"")</f>
        <v/>
      </c>
      <c r="D125" s="2">
        <f>IFERROR(INDEX(Issues!$L$2:$L$245,MATCH(B125,Issues!$A$2:$A$245,0)),"")</f>
        <v/>
      </c>
      <c r="E125" s="2">
        <f>IF(AND(C125&lt;&gt;"Done",D125&lt;&gt;"Done"),"Yes","No")</f>
        <v/>
      </c>
    </row>
    <row r="126">
      <c r="A126" s="2" t="inlineStr">
        <is>
          <t>EXE-008</t>
        </is>
      </c>
      <c r="B126" s="2" t="inlineStr">
        <is>
          <t>POL-003</t>
        </is>
      </c>
      <c r="C126" s="2">
        <f>IFERROR(INDEX(Issues!$L$2:$L$245,MATCH(A126,Issues!$A$2:$A$245,0)),"")</f>
        <v/>
      </c>
      <c r="D126" s="2">
        <f>IFERROR(INDEX(Issues!$L$2:$L$245,MATCH(B126,Issues!$A$2:$A$245,0)),"")</f>
        <v/>
      </c>
      <c r="E126" s="2">
        <f>IF(AND(C126&lt;&gt;"Done",D126&lt;&gt;"Done"),"Yes","No")</f>
        <v/>
      </c>
    </row>
    <row r="127">
      <c r="A127" s="2" t="inlineStr">
        <is>
          <t>EXE-008</t>
        </is>
      </c>
      <c r="B127" s="2" t="inlineStr">
        <is>
          <t>POL-007</t>
        </is>
      </c>
      <c r="C127" s="2">
        <f>IFERROR(INDEX(Issues!$L$2:$L$245,MATCH(A127,Issues!$A$2:$A$245,0)),"")</f>
        <v/>
      </c>
      <c r="D127" s="2">
        <f>IFERROR(INDEX(Issues!$L$2:$L$245,MATCH(B127,Issues!$A$2:$A$245,0)),"")</f>
        <v/>
      </c>
      <c r="E127" s="2">
        <f>IF(AND(C127&lt;&gt;"Done",D127&lt;&gt;"Done"),"Yes","No")</f>
        <v/>
      </c>
    </row>
    <row r="128">
      <c r="A128" s="2" t="inlineStr">
        <is>
          <t>EXE-009</t>
        </is>
      </c>
      <c r="B128" s="2" t="inlineStr">
        <is>
          <t>EXE-003</t>
        </is>
      </c>
      <c r="C128" s="2">
        <f>IFERROR(INDEX(Issues!$L$2:$L$245,MATCH(A128,Issues!$A$2:$A$245,0)),"")</f>
        <v/>
      </c>
      <c r="D128" s="2">
        <f>IFERROR(INDEX(Issues!$L$2:$L$245,MATCH(B128,Issues!$A$2:$A$245,0)),"")</f>
        <v/>
      </c>
      <c r="E128" s="2">
        <f>IF(AND(C128&lt;&gt;"Done",D128&lt;&gt;"Done"),"Yes","No")</f>
        <v/>
      </c>
    </row>
    <row r="129">
      <c r="A129" s="2" t="inlineStr">
        <is>
          <t>EXE-010</t>
        </is>
      </c>
      <c r="B129" s="2" t="inlineStr">
        <is>
          <t>EXE-007</t>
        </is>
      </c>
      <c r="C129" s="2">
        <f>IFERROR(INDEX(Issues!$L$2:$L$245,MATCH(A129,Issues!$A$2:$A$245,0)),"")</f>
        <v/>
      </c>
      <c r="D129" s="2">
        <f>IFERROR(INDEX(Issues!$L$2:$L$245,MATCH(B129,Issues!$A$2:$A$245,0)),"")</f>
        <v/>
      </c>
      <c r="E129" s="2">
        <f>IF(AND(C129&lt;&gt;"Done",D129&lt;&gt;"Done"),"Yes","No")</f>
        <v/>
      </c>
    </row>
    <row r="130">
      <c r="A130" s="2" t="inlineStr">
        <is>
          <t>EXE-011</t>
        </is>
      </c>
      <c r="B130" s="2" t="inlineStr">
        <is>
          <t>EXE-008</t>
        </is>
      </c>
      <c r="C130" s="2">
        <f>IFERROR(INDEX(Issues!$L$2:$L$245,MATCH(A130,Issues!$A$2:$A$245,0)),"")</f>
        <v/>
      </c>
      <c r="D130" s="2">
        <f>IFERROR(INDEX(Issues!$L$2:$L$245,MATCH(B130,Issues!$A$2:$A$245,0)),"")</f>
        <v/>
      </c>
      <c r="E130" s="2">
        <f>IF(AND(C130&lt;&gt;"Done",D130&lt;&gt;"Done"),"Yes","No")</f>
        <v/>
      </c>
    </row>
    <row r="131">
      <c r="A131" s="2" t="inlineStr">
        <is>
          <t>EXE-011</t>
        </is>
      </c>
      <c r="B131" s="2" t="inlineStr">
        <is>
          <t>SC-018</t>
        </is>
      </c>
      <c r="C131" s="2">
        <f>IFERROR(INDEX(Issues!$L$2:$L$245,MATCH(A131,Issues!$A$2:$A$245,0)),"")</f>
        <v/>
      </c>
      <c r="D131" s="2">
        <f>IFERROR(INDEX(Issues!$L$2:$L$245,MATCH(B131,Issues!$A$2:$A$245,0)),"")</f>
        <v/>
      </c>
      <c r="E131" s="2">
        <f>IF(AND(C131&lt;&gt;"Done",D131&lt;&gt;"Done"),"Yes","No")</f>
        <v/>
      </c>
    </row>
    <row r="132">
      <c r="A132" s="2" t="inlineStr">
        <is>
          <t>EXE-012</t>
        </is>
      </c>
      <c r="B132" s="2" t="inlineStr">
        <is>
          <t>MDT-001</t>
        </is>
      </c>
      <c r="C132" s="2">
        <f>IFERROR(INDEX(Issues!$L$2:$L$245,MATCH(A132,Issues!$A$2:$A$245,0)),"")</f>
        <v/>
      </c>
      <c r="D132" s="2">
        <f>IFERROR(INDEX(Issues!$L$2:$L$245,MATCH(B132,Issues!$A$2:$A$245,0)),"")</f>
        <v/>
      </c>
      <c r="E132" s="2">
        <f>IF(AND(C132&lt;&gt;"Done",D132&lt;&gt;"Done"),"Yes","No")</f>
        <v/>
      </c>
    </row>
    <row r="133">
      <c r="A133" s="2" t="inlineStr">
        <is>
          <t>EXE-012</t>
        </is>
      </c>
      <c r="B133" s="2" t="inlineStr">
        <is>
          <t>CHR-001</t>
        </is>
      </c>
      <c r="C133" s="2">
        <f>IFERROR(INDEX(Issues!$L$2:$L$245,MATCH(A133,Issues!$A$2:$A$245,0)),"")</f>
        <v/>
      </c>
      <c r="D133" s="2">
        <f>IFERROR(INDEX(Issues!$L$2:$L$245,MATCH(B133,Issues!$A$2:$A$245,0)),"")</f>
        <v/>
      </c>
      <c r="E133" s="2">
        <f>IF(AND(C133&lt;&gt;"Done",D133&lt;&gt;"Done"),"Yes","No")</f>
        <v/>
      </c>
    </row>
    <row r="134">
      <c r="A134" s="2" t="inlineStr">
        <is>
          <t>EXE-012</t>
        </is>
      </c>
      <c r="B134" s="2" t="inlineStr">
        <is>
          <t>ENG-001</t>
        </is>
      </c>
      <c r="C134" s="2">
        <f>IFERROR(INDEX(Issues!$L$2:$L$245,MATCH(A134,Issues!$A$2:$A$245,0)),"")</f>
        <v/>
      </c>
      <c r="D134" s="2">
        <f>IFERROR(INDEX(Issues!$L$2:$L$245,MATCH(B134,Issues!$A$2:$A$245,0)),"")</f>
        <v/>
      </c>
      <c r="E134" s="2">
        <f>IF(AND(C134&lt;&gt;"Done",D134&lt;&gt;"Done"),"Yes","No")</f>
        <v/>
      </c>
    </row>
    <row r="135">
      <c r="A135" s="2" t="inlineStr">
        <is>
          <t>EXE-013</t>
        </is>
      </c>
      <c r="B135" s="2" t="inlineStr">
        <is>
          <t>EXE-005</t>
        </is>
      </c>
      <c r="C135" s="2">
        <f>IFERROR(INDEX(Issues!$L$2:$L$245,MATCH(A135,Issues!$A$2:$A$245,0)),"")</f>
        <v/>
      </c>
      <c r="D135" s="2">
        <f>IFERROR(INDEX(Issues!$L$2:$L$245,MATCH(B135,Issues!$A$2:$A$245,0)),"")</f>
        <v/>
      </c>
      <c r="E135" s="2">
        <f>IF(AND(C135&lt;&gt;"Done",D135&lt;&gt;"Done"),"Yes","No")</f>
        <v/>
      </c>
    </row>
    <row r="136">
      <c r="A136" s="2" t="inlineStr">
        <is>
          <t>EXE-013</t>
        </is>
      </c>
      <c r="B136" s="2" t="inlineStr">
        <is>
          <t>EXE-006</t>
        </is>
      </c>
      <c r="C136" s="2">
        <f>IFERROR(INDEX(Issues!$L$2:$L$245,MATCH(A136,Issues!$A$2:$A$245,0)),"")</f>
        <v/>
      </c>
      <c r="D136" s="2">
        <f>IFERROR(INDEX(Issues!$L$2:$L$245,MATCH(B136,Issues!$A$2:$A$245,0)),"")</f>
        <v/>
      </c>
      <c r="E136" s="2">
        <f>IF(AND(C136&lt;&gt;"Done",D136&lt;&gt;"Done"),"Yes","No")</f>
        <v/>
      </c>
    </row>
    <row r="137">
      <c r="A137" s="2" t="inlineStr">
        <is>
          <t>EXE-014</t>
        </is>
      </c>
      <c r="B137" s="2" t="inlineStr">
        <is>
          <t>EXE-008</t>
        </is>
      </c>
      <c r="C137" s="2">
        <f>IFERROR(INDEX(Issues!$L$2:$L$245,MATCH(A137,Issues!$A$2:$A$245,0)),"")</f>
        <v/>
      </c>
      <c r="D137" s="2">
        <f>IFERROR(INDEX(Issues!$L$2:$L$245,MATCH(B137,Issues!$A$2:$A$245,0)),"")</f>
        <v/>
      </c>
      <c r="E137" s="2">
        <f>IF(AND(C137&lt;&gt;"Done",D137&lt;&gt;"Done"),"Yes","No")</f>
        <v/>
      </c>
    </row>
    <row r="138">
      <c r="A138" s="2" t="inlineStr">
        <is>
          <t>EXE-014</t>
        </is>
      </c>
      <c r="B138" s="2" t="inlineStr">
        <is>
          <t>ENG-013</t>
        </is>
      </c>
      <c r="C138" s="2">
        <f>IFERROR(INDEX(Issues!$L$2:$L$245,MATCH(A138,Issues!$A$2:$A$245,0)),"")</f>
        <v/>
      </c>
      <c r="D138" s="2">
        <f>IFERROR(INDEX(Issues!$L$2:$L$245,MATCH(B138,Issues!$A$2:$A$245,0)),"")</f>
        <v/>
      </c>
      <c r="E138" s="2">
        <f>IF(AND(C138&lt;&gt;"Done",D138&lt;&gt;"Done"),"Yes","No")</f>
        <v/>
      </c>
    </row>
    <row r="139">
      <c r="A139" s="2" t="inlineStr">
        <is>
          <t>EXE-014</t>
        </is>
      </c>
      <c r="B139" s="2" t="inlineStr">
        <is>
          <t>SC-024</t>
        </is>
      </c>
      <c r="C139" s="2">
        <f>IFERROR(INDEX(Issues!$L$2:$L$245,MATCH(A139,Issues!$A$2:$A$245,0)),"")</f>
        <v/>
      </c>
      <c r="D139" s="2">
        <f>IFERROR(INDEX(Issues!$L$2:$L$245,MATCH(B139,Issues!$A$2:$A$245,0)),"")</f>
        <v/>
      </c>
      <c r="E139" s="2">
        <f>IF(AND(C139&lt;&gt;"Done",D139&lt;&gt;"Done"),"Yes","No")</f>
        <v/>
      </c>
    </row>
    <row r="140">
      <c r="A140" s="2" t="inlineStr">
        <is>
          <t>EXE-L01</t>
        </is>
      </c>
      <c r="B140" s="2" t="inlineStr">
        <is>
          <t>EXE-005</t>
        </is>
      </c>
      <c r="C140" s="2">
        <f>IFERROR(INDEX(Issues!$L$2:$L$245,MATCH(A140,Issues!$A$2:$A$245,0)),"")</f>
        <v/>
      </c>
      <c r="D140" s="2">
        <f>IFERROR(INDEX(Issues!$L$2:$L$245,MATCH(B140,Issues!$A$2:$A$245,0)),"")</f>
        <v/>
      </c>
      <c r="E140" s="2">
        <f>IF(AND(C140&lt;&gt;"Done",D140&lt;&gt;"Done"),"Yes","No")</f>
        <v/>
      </c>
    </row>
    <row r="141">
      <c r="A141" s="2" t="inlineStr">
        <is>
          <t>EXE-L02</t>
        </is>
      </c>
      <c r="B141" s="2" t="inlineStr">
        <is>
          <t>EXE-011</t>
        </is>
      </c>
      <c r="C141" s="2">
        <f>IFERROR(INDEX(Issues!$L$2:$L$245,MATCH(A141,Issues!$A$2:$A$245,0)),"")</f>
        <v/>
      </c>
      <c r="D141" s="2">
        <f>IFERROR(INDEX(Issues!$L$2:$L$245,MATCH(B141,Issues!$A$2:$A$245,0)),"")</f>
        <v/>
      </c>
      <c r="E141" s="2">
        <f>IF(AND(C141&lt;&gt;"Done",D141&lt;&gt;"Done"),"Yes","No")</f>
        <v/>
      </c>
    </row>
    <row r="142">
      <c r="A142" s="2" t="inlineStr">
        <is>
          <t>EXE-L02</t>
        </is>
      </c>
      <c r="B142" s="2" t="inlineStr">
        <is>
          <t>SC-L03</t>
        </is>
      </c>
      <c r="C142" s="2">
        <f>IFERROR(INDEX(Issues!$L$2:$L$245,MATCH(A142,Issues!$A$2:$A$245,0)),"")</f>
        <v/>
      </c>
      <c r="D142" s="2">
        <f>IFERROR(INDEX(Issues!$L$2:$L$245,MATCH(B142,Issues!$A$2:$A$245,0)),"")</f>
        <v/>
      </c>
      <c r="E142" s="2">
        <f>IF(AND(C142&lt;&gt;"Done",D142&lt;&gt;"Done"),"Yes","No")</f>
        <v/>
      </c>
    </row>
    <row r="143">
      <c r="A143" s="2" t="inlineStr">
        <is>
          <t>EXE-L03</t>
        </is>
      </c>
      <c r="B143" s="2" t="inlineStr">
        <is>
          <t>TRS-L01</t>
        </is>
      </c>
      <c r="C143" s="2">
        <f>IFERROR(INDEX(Issues!$L$2:$L$245,MATCH(A143,Issues!$A$2:$A$245,0)),"")</f>
        <v/>
      </c>
      <c r="D143" s="2">
        <f>IFERROR(INDEX(Issues!$L$2:$L$245,MATCH(B143,Issues!$A$2:$A$245,0)),"")</f>
        <v/>
      </c>
      <c r="E143" s="2">
        <f>IF(AND(C143&lt;&gt;"Done",D143&lt;&gt;"Done"),"Yes","No")</f>
        <v/>
      </c>
    </row>
    <row r="144">
      <c r="A144" s="2" t="inlineStr">
        <is>
          <t>EXE-L04</t>
        </is>
      </c>
      <c r="B144" s="2" t="inlineStr">
        <is>
          <t>EXE-002</t>
        </is>
      </c>
      <c r="C144" s="2">
        <f>IFERROR(INDEX(Issues!$L$2:$L$245,MATCH(A144,Issues!$A$2:$A$245,0)),"")</f>
        <v/>
      </c>
      <c r="D144" s="2">
        <f>IFERROR(INDEX(Issues!$L$2:$L$245,MATCH(B144,Issues!$A$2:$A$245,0)),"")</f>
        <v/>
      </c>
      <c r="E144" s="2">
        <f>IF(AND(C144&lt;&gt;"Done",D144&lt;&gt;"Done"),"Yes","No")</f>
        <v/>
      </c>
    </row>
    <row r="145">
      <c r="A145" s="2" t="inlineStr">
        <is>
          <t>IDN-001</t>
        </is>
      </c>
      <c r="B145" s="2" t="inlineStr">
        <is>
          <t>DEV-002</t>
        </is>
      </c>
      <c r="C145" s="2">
        <f>IFERROR(INDEX(Issues!$L$2:$L$245,MATCH(A145,Issues!$A$2:$A$245,0)),"")</f>
        <v/>
      </c>
      <c r="D145" s="2">
        <f>IFERROR(INDEX(Issues!$L$2:$L$245,MATCH(B145,Issues!$A$2:$A$245,0)),"")</f>
        <v/>
      </c>
      <c r="E145" s="2">
        <f>IF(AND(C145&lt;&gt;"Done",D145&lt;&gt;"Done"),"Yes","No")</f>
        <v/>
      </c>
    </row>
    <row r="146">
      <c r="A146" s="2" t="inlineStr">
        <is>
          <t>IDN-002</t>
        </is>
      </c>
      <c r="B146" s="2" t="inlineStr">
        <is>
          <t>IDN-001</t>
        </is>
      </c>
      <c r="C146" s="2">
        <f>IFERROR(INDEX(Issues!$L$2:$L$245,MATCH(A146,Issues!$A$2:$A$245,0)),"")</f>
        <v/>
      </c>
      <c r="D146" s="2">
        <f>IFERROR(INDEX(Issues!$L$2:$L$245,MATCH(B146,Issues!$A$2:$A$245,0)),"")</f>
        <v/>
      </c>
      <c r="E146" s="2">
        <f>IF(AND(C146&lt;&gt;"Done",D146&lt;&gt;"Done"),"Yes","No")</f>
        <v/>
      </c>
    </row>
    <row r="147">
      <c r="A147" s="2" t="inlineStr">
        <is>
          <t>IDN-003</t>
        </is>
      </c>
      <c r="B147" s="2" t="inlineStr">
        <is>
          <t>IDN-002</t>
        </is>
      </c>
      <c r="C147" s="2">
        <f>IFERROR(INDEX(Issues!$L$2:$L$245,MATCH(A147,Issues!$A$2:$A$245,0)),"")</f>
        <v/>
      </c>
      <c r="D147" s="2">
        <f>IFERROR(INDEX(Issues!$L$2:$L$245,MATCH(B147,Issues!$A$2:$A$245,0)),"")</f>
        <v/>
      </c>
      <c r="E147" s="2">
        <f>IF(AND(C147&lt;&gt;"Done",D147&lt;&gt;"Done"),"Yes","No")</f>
        <v/>
      </c>
    </row>
    <row r="148">
      <c r="A148" s="2" t="inlineStr">
        <is>
          <t>IDN-004</t>
        </is>
      </c>
      <c r="B148" s="2" t="inlineStr">
        <is>
          <t>IDN-002</t>
        </is>
      </c>
      <c r="C148" s="2">
        <f>IFERROR(INDEX(Issues!$L$2:$L$245,MATCH(A148,Issues!$A$2:$A$245,0)),"")</f>
        <v/>
      </c>
      <c r="D148" s="2">
        <f>IFERROR(INDEX(Issues!$L$2:$L$245,MATCH(B148,Issues!$A$2:$A$245,0)),"")</f>
        <v/>
      </c>
      <c r="E148" s="2">
        <f>IF(AND(C148&lt;&gt;"Done",D148&lt;&gt;"Done"),"Yes","No")</f>
        <v/>
      </c>
    </row>
    <row r="149">
      <c r="A149" s="2" t="inlineStr">
        <is>
          <t>IDN-005</t>
        </is>
      </c>
      <c r="B149" s="2" t="inlineStr">
        <is>
          <t>IDN-002</t>
        </is>
      </c>
      <c r="C149" s="2">
        <f>IFERROR(INDEX(Issues!$L$2:$L$245,MATCH(A149,Issues!$A$2:$A$245,0)),"")</f>
        <v/>
      </c>
      <c r="D149" s="2">
        <f>IFERROR(INDEX(Issues!$L$2:$L$245,MATCH(B149,Issues!$A$2:$A$245,0)),"")</f>
        <v/>
      </c>
      <c r="E149" s="2">
        <f>IF(AND(C149&lt;&gt;"Done",D149&lt;&gt;"Done"),"Yes","No")</f>
        <v/>
      </c>
    </row>
    <row r="150">
      <c r="A150" s="2" t="inlineStr">
        <is>
          <t>IDN-006</t>
        </is>
      </c>
      <c r="B150" s="2" t="inlineStr">
        <is>
          <t>IDN-005</t>
        </is>
      </c>
      <c r="C150" s="2">
        <f>IFERROR(INDEX(Issues!$L$2:$L$245,MATCH(A150,Issues!$A$2:$A$245,0)),"")</f>
        <v/>
      </c>
      <c r="D150" s="2">
        <f>IFERROR(INDEX(Issues!$L$2:$L$245,MATCH(B150,Issues!$A$2:$A$245,0)),"")</f>
        <v/>
      </c>
      <c r="E150" s="2">
        <f>IF(AND(C150&lt;&gt;"Done",D150&lt;&gt;"Done"),"Yes","No")</f>
        <v/>
      </c>
    </row>
    <row r="151">
      <c r="A151" s="2" t="inlineStr">
        <is>
          <t>IDN-007</t>
        </is>
      </c>
      <c r="B151" s="2" t="inlineStr">
        <is>
          <t>IDN-006</t>
        </is>
      </c>
      <c r="C151" s="2">
        <f>IFERROR(INDEX(Issues!$L$2:$L$245,MATCH(A151,Issues!$A$2:$A$245,0)),"")</f>
        <v/>
      </c>
      <c r="D151" s="2">
        <f>IFERROR(INDEX(Issues!$L$2:$L$245,MATCH(B151,Issues!$A$2:$A$245,0)),"")</f>
        <v/>
      </c>
      <c r="E151" s="2">
        <f>IF(AND(C151&lt;&gt;"Done",D151&lt;&gt;"Done"),"Yes","No")</f>
        <v/>
      </c>
    </row>
    <row r="152">
      <c r="A152" s="2" t="inlineStr">
        <is>
          <t>IDN-008</t>
        </is>
      </c>
      <c r="B152" s="2" t="inlineStr">
        <is>
          <t>IDN-006</t>
        </is>
      </c>
      <c r="C152" s="2">
        <f>IFERROR(INDEX(Issues!$L$2:$L$245,MATCH(A152,Issues!$A$2:$A$245,0)),"")</f>
        <v/>
      </c>
      <c r="D152" s="2">
        <f>IFERROR(INDEX(Issues!$L$2:$L$245,MATCH(B152,Issues!$A$2:$A$245,0)),"")</f>
        <v/>
      </c>
      <c r="E152" s="2">
        <f>IF(AND(C152&lt;&gt;"Done",D152&lt;&gt;"Done"),"Yes","No")</f>
        <v/>
      </c>
    </row>
    <row r="153">
      <c r="A153" s="2" t="inlineStr">
        <is>
          <t>IDN-L01</t>
        </is>
      </c>
      <c r="B153" s="2" t="inlineStr">
        <is>
          <t>IDN-002</t>
        </is>
      </c>
      <c r="C153" s="2">
        <f>IFERROR(INDEX(Issues!$L$2:$L$245,MATCH(A153,Issues!$A$2:$A$245,0)),"")</f>
        <v/>
      </c>
      <c r="D153" s="2">
        <f>IFERROR(INDEX(Issues!$L$2:$L$245,MATCH(B153,Issues!$A$2:$A$245,0)),"")</f>
        <v/>
      </c>
      <c r="E153" s="2">
        <f>IF(AND(C153&lt;&gt;"Done",D153&lt;&gt;"Done"),"Yes","No")</f>
        <v/>
      </c>
    </row>
    <row r="154">
      <c r="A154" s="2" t="inlineStr">
        <is>
          <t>IDN-L02</t>
        </is>
      </c>
      <c r="B154" s="2" t="inlineStr">
        <is>
          <t>IDN-006</t>
        </is>
      </c>
      <c r="C154" s="2">
        <f>IFERROR(INDEX(Issues!$L$2:$L$245,MATCH(A154,Issues!$A$2:$A$245,0)),"")</f>
        <v/>
      </c>
      <c r="D154" s="2">
        <f>IFERROR(INDEX(Issues!$L$2:$L$245,MATCH(B154,Issues!$A$2:$A$245,0)),"")</f>
        <v/>
      </c>
      <c r="E154" s="2">
        <f>IF(AND(C154&lt;&gt;"Done",D154&lt;&gt;"Done"),"Yes","No")</f>
        <v/>
      </c>
    </row>
    <row r="155">
      <c r="A155" s="2" t="inlineStr">
        <is>
          <t>IDN-L03</t>
        </is>
      </c>
      <c r="B155" s="2" t="inlineStr">
        <is>
          <t>IDN-L02</t>
        </is>
      </c>
      <c r="C155" s="2">
        <f>IFERROR(INDEX(Issues!$L$2:$L$245,MATCH(A155,Issues!$A$2:$A$245,0)),"")</f>
        <v/>
      </c>
      <c r="D155" s="2">
        <f>IFERROR(INDEX(Issues!$L$2:$L$245,MATCH(B155,Issues!$A$2:$A$245,0)),"")</f>
        <v/>
      </c>
      <c r="E155" s="2">
        <f>IF(AND(C155&lt;&gt;"Done",D155&lt;&gt;"Done"),"Yes","No")</f>
        <v/>
      </c>
    </row>
    <row r="156">
      <c r="A156" s="2" t="inlineStr">
        <is>
          <t>INV-001</t>
        </is>
      </c>
      <c r="B156" s="2" t="inlineStr">
        <is>
          <t>MDT-001</t>
        </is>
      </c>
      <c r="C156" s="2">
        <f>IFERROR(INDEX(Issues!$L$2:$L$245,MATCH(A156,Issues!$A$2:$A$245,0)),"")</f>
        <v/>
      </c>
      <c r="D156" s="2">
        <f>IFERROR(INDEX(Issues!$L$2:$L$245,MATCH(B156,Issues!$A$2:$A$245,0)),"")</f>
        <v/>
      </c>
      <c r="E156" s="2">
        <f>IF(AND(C156&lt;&gt;"Done",D156&lt;&gt;"Done"),"Yes","No")</f>
        <v/>
      </c>
    </row>
    <row r="157">
      <c r="A157" s="2" t="inlineStr">
        <is>
          <t>INV-002</t>
        </is>
      </c>
      <c r="B157" s="2" t="inlineStr">
        <is>
          <t>INV-001</t>
        </is>
      </c>
      <c r="C157" s="2">
        <f>IFERROR(INDEX(Issues!$L$2:$L$245,MATCH(A157,Issues!$A$2:$A$245,0)),"")</f>
        <v/>
      </c>
      <c r="D157" s="2">
        <f>IFERROR(INDEX(Issues!$L$2:$L$245,MATCH(B157,Issues!$A$2:$A$245,0)),"")</f>
        <v/>
      </c>
      <c r="E157" s="2">
        <f>IF(AND(C157&lt;&gt;"Done",D157&lt;&gt;"Done"),"Yes","No")</f>
        <v/>
      </c>
    </row>
    <row r="158">
      <c r="A158" s="2" t="inlineStr">
        <is>
          <t>INV-003</t>
        </is>
      </c>
      <c r="B158" s="2" t="inlineStr">
        <is>
          <t>INV-002</t>
        </is>
      </c>
      <c r="C158" s="2">
        <f>IFERROR(INDEX(Issues!$L$2:$L$245,MATCH(A158,Issues!$A$2:$A$245,0)),"")</f>
        <v/>
      </c>
      <c r="D158" s="2">
        <f>IFERROR(INDEX(Issues!$L$2:$L$245,MATCH(B158,Issues!$A$2:$A$245,0)),"")</f>
        <v/>
      </c>
      <c r="E158" s="2">
        <f>IF(AND(C158&lt;&gt;"Done",D158&lt;&gt;"Done"),"Yes","No")</f>
        <v/>
      </c>
    </row>
    <row r="159">
      <c r="A159" s="2" t="inlineStr">
        <is>
          <t>INV-003</t>
        </is>
      </c>
      <c r="B159" s="2" t="inlineStr">
        <is>
          <t>MDT-004</t>
        </is>
      </c>
      <c r="C159" s="2">
        <f>IFERROR(INDEX(Issues!$L$2:$L$245,MATCH(A159,Issues!$A$2:$A$245,0)),"")</f>
        <v/>
      </c>
      <c r="D159" s="2">
        <f>IFERROR(INDEX(Issues!$L$2:$L$245,MATCH(B159,Issues!$A$2:$A$245,0)),"")</f>
        <v/>
      </c>
      <c r="E159" s="2">
        <f>IF(AND(C159&lt;&gt;"Done",D159&lt;&gt;"Done"),"Yes","No")</f>
        <v/>
      </c>
    </row>
    <row r="160">
      <c r="A160" s="2" t="inlineStr">
        <is>
          <t>INV-004</t>
        </is>
      </c>
      <c r="B160" s="2" t="inlineStr">
        <is>
          <t>INV-003</t>
        </is>
      </c>
      <c r="C160" s="2">
        <f>IFERROR(INDEX(Issues!$L$2:$L$245,MATCH(A160,Issues!$A$2:$A$245,0)),"")</f>
        <v/>
      </c>
      <c r="D160" s="2">
        <f>IFERROR(INDEX(Issues!$L$2:$L$245,MATCH(B160,Issues!$A$2:$A$245,0)),"")</f>
        <v/>
      </c>
      <c r="E160" s="2">
        <f>IF(AND(C160&lt;&gt;"Done",D160&lt;&gt;"Done"),"Yes","No")</f>
        <v/>
      </c>
    </row>
    <row r="161">
      <c r="A161" s="2" t="inlineStr">
        <is>
          <t>INV-005</t>
        </is>
      </c>
      <c r="B161" s="2" t="inlineStr">
        <is>
          <t>INV-003</t>
        </is>
      </c>
      <c r="C161" s="2">
        <f>IFERROR(INDEX(Issues!$L$2:$L$245,MATCH(A161,Issues!$A$2:$A$245,0)),"")</f>
        <v/>
      </c>
      <c r="D161" s="2">
        <f>IFERROR(INDEX(Issues!$L$2:$L$245,MATCH(B161,Issues!$A$2:$A$245,0)),"")</f>
        <v/>
      </c>
      <c r="E161" s="2">
        <f>IF(AND(C161&lt;&gt;"Done",D161&lt;&gt;"Done"),"Yes","No")</f>
        <v/>
      </c>
    </row>
    <row r="162">
      <c r="A162" s="2" t="inlineStr">
        <is>
          <t>INV-006</t>
        </is>
      </c>
      <c r="B162" s="2" t="inlineStr">
        <is>
          <t>INV-003</t>
        </is>
      </c>
      <c r="C162" s="2">
        <f>IFERROR(INDEX(Issues!$L$2:$L$245,MATCH(A162,Issues!$A$2:$A$245,0)),"")</f>
        <v/>
      </c>
      <c r="D162" s="2">
        <f>IFERROR(INDEX(Issues!$L$2:$L$245,MATCH(B162,Issues!$A$2:$A$245,0)),"")</f>
        <v/>
      </c>
      <c r="E162" s="2">
        <f>IF(AND(C162&lt;&gt;"Done",D162&lt;&gt;"Done"),"Yes","No")</f>
        <v/>
      </c>
    </row>
    <row r="163">
      <c r="A163" s="2" t="inlineStr">
        <is>
          <t>INV-006</t>
        </is>
      </c>
      <c r="B163" s="2" t="inlineStr">
        <is>
          <t>ENG-009</t>
        </is>
      </c>
      <c r="C163" s="2">
        <f>IFERROR(INDEX(Issues!$L$2:$L$245,MATCH(A163,Issues!$A$2:$A$245,0)),"")</f>
        <v/>
      </c>
      <c r="D163" s="2">
        <f>IFERROR(INDEX(Issues!$L$2:$L$245,MATCH(B163,Issues!$A$2:$A$245,0)),"")</f>
        <v/>
      </c>
      <c r="E163" s="2">
        <f>IF(AND(C163&lt;&gt;"Done",D163&lt;&gt;"Done"),"Yes","No")</f>
        <v/>
      </c>
    </row>
    <row r="164">
      <c r="A164" s="2" t="inlineStr">
        <is>
          <t>INV-007</t>
        </is>
      </c>
      <c r="B164" s="2" t="inlineStr">
        <is>
          <t>INV-006</t>
        </is>
      </c>
      <c r="C164" s="2">
        <f>IFERROR(INDEX(Issues!$L$2:$L$245,MATCH(A164,Issues!$A$2:$A$245,0)),"")</f>
        <v/>
      </c>
      <c r="D164" s="2">
        <f>IFERROR(INDEX(Issues!$L$2:$L$245,MATCH(B164,Issues!$A$2:$A$245,0)),"")</f>
        <v/>
      </c>
      <c r="E164" s="2">
        <f>IF(AND(C164&lt;&gt;"Done",D164&lt;&gt;"Done"),"Yes","No")</f>
        <v/>
      </c>
    </row>
    <row r="165">
      <c r="A165" s="2" t="inlineStr">
        <is>
          <t>INV-008</t>
        </is>
      </c>
      <c r="B165" s="2" t="inlineStr">
        <is>
          <t>INV-003</t>
        </is>
      </c>
      <c r="C165" s="2">
        <f>IFERROR(INDEX(Issues!$L$2:$L$245,MATCH(A165,Issues!$A$2:$A$245,0)),"")</f>
        <v/>
      </c>
      <c r="D165" s="2">
        <f>IFERROR(INDEX(Issues!$L$2:$L$245,MATCH(B165,Issues!$A$2:$A$245,0)),"")</f>
        <v/>
      </c>
      <c r="E165" s="2">
        <f>IF(AND(C165&lt;&gt;"Done",D165&lt;&gt;"Done"),"Yes","No")</f>
        <v/>
      </c>
    </row>
    <row r="166">
      <c r="A166" s="2" t="inlineStr">
        <is>
          <t>INV-008</t>
        </is>
      </c>
      <c r="B166" s="2" t="inlineStr">
        <is>
          <t>ENG-005</t>
        </is>
      </c>
      <c r="C166" s="2">
        <f>IFERROR(INDEX(Issues!$L$2:$L$245,MATCH(A166,Issues!$A$2:$A$245,0)),"")</f>
        <v/>
      </c>
      <c r="D166" s="2">
        <f>IFERROR(INDEX(Issues!$L$2:$L$245,MATCH(B166,Issues!$A$2:$A$245,0)),"")</f>
        <v/>
      </c>
      <c r="E166" s="2">
        <f>IF(AND(C166&lt;&gt;"Done",D166&lt;&gt;"Done"),"Yes","No")</f>
        <v/>
      </c>
    </row>
    <row r="167">
      <c r="A167" s="2" t="inlineStr">
        <is>
          <t>INV-009</t>
        </is>
      </c>
      <c r="B167" s="2" t="inlineStr">
        <is>
          <t>INV-007</t>
        </is>
      </c>
      <c r="C167" s="2">
        <f>IFERROR(INDEX(Issues!$L$2:$L$245,MATCH(A167,Issues!$A$2:$A$245,0)),"")</f>
        <v/>
      </c>
      <c r="D167" s="2">
        <f>IFERROR(INDEX(Issues!$L$2:$L$245,MATCH(B167,Issues!$A$2:$A$245,0)),"")</f>
        <v/>
      </c>
      <c r="E167" s="2">
        <f>IF(AND(C167&lt;&gt;"Done",D167&lt;&gt;"Done"),"Yes","No")</f>
        <v/>
      </c>
    </row>
    <row r="168">
      <c r="A168" s="2" t="inlineStr">
        <is>
          <t>INV-009</t>
        </is>
      </c>
      <c r="B168" s="2" t="inlineStr">
        <is>
          <t>INV-008</t>
        </is>
      </c>
      <c r="C168" s="2">
        <f>IFERROR(INDEX(Issues!$L$2:$L$245,MATCH(A168,Issues!$A$2:$A$245,0)),"")</f>
        <v/>
      </c>
      <c r="D168" s="2">
        <f>IFERROR(INDEX(Issues!$L$2:$L$245,MATCH(B168,Issues!$A$2:$A$245,0)),"")</f>
        <v/>
      </c>
      <c r="E168" s="2">
        <f>IF(AND(C168&lt;&gt;"Done",D168&lt;&gt;"Done"),"Yes","No")</f>
        <v/>
      </c>
    </row>
    <row r="169">
      <c r="A169" s="2" t="inlineStr">
        <is>
          <t>INV-010</t>
        </is>
      </c>
      <c r="B169" s="2" t="inlineStr">
        <is>
          <t>INV-009</t>
        </is>
      </c>
      <c r="C169" s="2">
        <f>IFERROR(INDEX(Issues!$L$2:$L$245,MATCH(A169,Issues!$A$2:$A$245,0)),"")</f>
        <v/>
      </c>
      <c r="D169" s="2">
        <f>IFERROR(INDEX(Issues!$L$2:$L$245,MATCH(B169,Issues!$A$2:$A$245,0)),"")</f>
        <v/>
      </c>
      <c r="E169" s="2">
        <f>IF(AND(C169&lt;&gt;"Done",D169&lt;&gt;"Done"),"Yes","No")</f>
        <v/>
      </c>
    </row>
    <row r="170">
      <c r="A170" s="2" t="inlineStr">
        <is>
          <t>INV-010</t>
        </is>
      </c>
      <c r="B170" s="2" t="inlineStr">
        <is>
          <t>ENG-010</t>
        </is>
      </c>
      <c r="C170" s="2">
        <f>IFERROR(INDEX(Issues!$L$2:$L$245,MATCH(A170,Issues!$A$2:$A$245,0)),"")</f>
        <v/>
      </c>
      <c r="D170" s="2">
        <f>IFERROR(INDEX(Issues!$L$2:$L$245,MATCH(B170,Issues!$A$2:$A$245,0)),"")</f>
        <v/>
      </c>
      <c r="E170" s="2">
        <f>IF(AND(C170&lt;&gt;"Done",D170&lt;&gt;"Done"),"Yes","No")</f>
        <v/>
      </c>
    </row>
    <row r="171">
      <c r="A171" s="2" t="inlineStr">
        <is>
          <t>INV-010</t>
        </is>
      </c>
      <c r="B171" s="2" t="inlineStr">
        <is>
          <t>IDN-008</t>
        </is>
      </c>
      <c r="C171" s="2">
        <f>IFERROR(INDEX(Issues!$L$2:$L$245,MATCH(A171,Issues!$A$2:$A$245,0)),"")</f>
        <v/>
      </c>
      <c r="D171" s="2">
        <f>IFERROR(INDEX(Issues!$L$2:$L$245,MATCH(B171,Issues!$A$2:$A$245,0)),"")</f>
        <v/>
      </c>
      <c r="E171" s="2">
        <f>IF(AND(C171&lt;&gt;"Done",D171&lt;&gt;"Done"),"Yes","No")</f>
        <v/>
      </c>
    </row>
    <row r="172">
      <c r="A172" s="2" t="inlineStr">
        <is>
          <t>INV-011</t>
        </is>
      </c>
      <c r="B172" s="2" t="inlineStr">
        <is>
          <t>INV-010</t>
        </is>
      </c>
      <c r="C172" s="2">
        <f>IFERROR(INDEX(Issues!$L$2:$L$245,MATCH(A172,Issues!$A$2:$A$245,0)),"")</f>
        <v/>
      </c>
      <c r="D172" s="2">
        <f>IFERROR(INDEX(Issues!$L$2:$L$245,MATCH(B172,Issues!$A$2:$A$245,0)),"")</f>
        <v/>
      </c>
      <c r="E172" s="2">
        <f>IF(AND(C172&lt;&gt;"Done",D172&lt;&gt;"Done"),"Yes","No")</f>
        <v/>
      </c>
    </row>
    <row r="173">
      <c r="A173" s="2" t="inlineStr">
        <is>
          <t>INV-011</t>
        </is>
      </c>
      <c r="B173" s="2" t="inlineStr">
        <is>
          <t>SC-022</t>
        </is>
      </c>
      <c r="C173" s="2">
        <f>IFERROR(INDEX(Issues!$L$2:$L$245,MATCH(A173,Issues!$A$2:$A$245,0)),"")</f>
        <v/>
      </c>
      <c r="D173" s="2">
        <f>IFERROR(INDEX(Issues!$L$2:$L$245,MATCH(B173,Issues!$A$2:$A$245,0)),"")</f>
        <v/>
      </c>
      <c r="E173" s="2">
        <f>IF(AND(C173&lt;&gt;"Done",D173&lt;&gt;"Done"),"Yes","No")</f>
        <v/>
      </c>
    </row>
    <row r="174">
      <c r="A174" s="2" t="inlineStr">
        <is>
          <t>INV-011</t>
        </is>
      </c>
      <c r="B174" s="2" t="inlineStr">
        <is>
          <t>MDT-009</t>
        </is>
      </c>
      <c r="C174" s="2">
        <f>IFERROR(INDEX(Issues!$L$2:$L$245,MATCH(A174,Issues!$A$2:$A$245,0)),"")</f>
        <v/>
      </c>
      <c r="D174" s="2">
        <f>IFERROR(INDEX(Issues!$L$2:$L$245,MATCH(B174,Issues!$A$2:$A$245,0)),"")</f>
        <v/>
      </c>
      <c r="E174" s="2">
        <f>IF(AND(C174&lt;&gt;"Done",D174&lt;&gt;"Done"),"Yes","No")</f>
        <v/>
      </c>
    </row>
    <row r="175">
      <c r="A175" s="2" t="inlineStr">
        <is>
          <t>INV-012</t>
        </is>
      </c>
      <c r="B175" s="2" t="inlineStr">
        <is>
          <t>INV-006</t>
        </is>
      </c>
      <c r="C175" s="2">
        <f>IFERROR(INDEX(Issues!$L$2:$L$245,MATCH(A175,Issues!$A$2:$A$245,0)),"")</f>
        <v/>
      </c>
      <c r="D175" s="2">
        <f>IFERROR(INDEX(Issues!$L$2:$L$245,MATCH(B175,Issues!$A$2:$A$245,0)),"")</f>
        <v/>
      </c>
      <c r="E175" s="2">
        <f>IF(AND(C175&lt;&gt;"Done",D175&lt;&gt;"Done"),"Yes","No")</f>
        <v/>
      </c>
    </row>
    <row r="176">
      <c r="A176" s="2" t="inlineStr">
        <is>
          <t>INV-L01</t>
        </is>
      </c>
      <c r="B176" s="2" t="inlineStr">
        <is>
          <t>INV-004</t>
        </is>
      </c>
      <c r="C176" s="2">
        <f>IFERROR(INDEX(Issues!$L$2:$L$245,MATCH(A176,Issues!$A$2:$A$245,0)),"")</f>
        <v/>
      </c>
      <c r="D176" s="2">
        <f>IFERROR(INDEX(Issues!$L$2:$L$245,MATCH(B176,Issues!$A$2:$A$245,0)),"")</f>
        <v/>
      </c>
      <c r="E176" s="2">
        <f>IF(AND(C176&lt;&gt;"Done",D176&lt;&gt;"Done"),"Yes","No")</f>
        <v/>
      </c>
    </row>
    <row r="177">
      <c r="A177" s="2" t="inlineStr">
        <is>
          <t>INV-L01</t>
        </is>
      </c>
      <c r="B177" s="2" t="inlineStr">
        <is>
          <t>AGT-004</t>
        </is>
      </c>
      <c r="C177" s="2">
        <f>IFERROR(INDEX(Issues!$L$2:$L$245,MATCH(A177,Issues!$A$2:$A$245,0)),"")</f>
        <v/>
      </c>
      <c r="D177" s="2">
        <f>IFERROR(INDEX(Issues!$L$2:$L$245,MATCH(B177,Issues!$A$2:$A$245,0)),"")</f>
        <v/>
      </c>
      <c r="E177" s="2">
        <f>IF(AND(C177&lt;&gt;"Done",D177&lt;&gt;"Done"),"Yes","No")</f>
        <v/>
      </c>
    </row>
    <row r="178">
      <c r="A178" s="2" t="inlineStr">
        <is>
          <t>INV-L02</t>
        </is>
      </c>
      <c r="B178" s="2" t="inlineStr">
        <is>
          <t>INV-003</t>
        </is>
      </c>
      <c r="C178" s="2">
        <f>IFERROR(INDEX(Issues!$L$2:$L$245,MATCH(A178,Issues!$A$2:$A$245,0)),"")</f>
        <v/>
      </c>
      <c r="D178" s="2">
        <f>IFERROR(INDEX(Issues!$L$2:$L$245,MATCH(B178,Issues!$A$2:$A$245,0)),"")</f>
        <v/>
      </c>
      <c r="E178" s="2">
        <f>IF(AND(C178&lt;&gt;"Done",D178&lt;&gt;"Done"),"Yes","No")</f>
        <v/>
      </c>
    </row>
    <row r="179">
      <c r="A179" s="2" t="inlineStr">
        <is>
          <t>INV-L03</t>
        </is>
      </c>
      <c r="B179" s="2" t="inlineStr">
        <is>
          <t>INV-003</t>
        </is>
      </c>
      <c r="C179" s="2">
        <f>IFERROR(INDEX(Issues!$L$2:$L$245,MATCH(A179,Issues!$A$2:$A$245,0)),"")</f>
        <v/>
      </c>
      <c r="D179" s="2">
        <f>IFERROR(INDEX(Issues!$L$2:$L$245,MATCH(B179,Issues!$A$2:$A$245,0)),"")</f>
        <v/>
      </c>
      <c r="E179" s="2">
        <f>IF(AND(C179&lt;&gt;"Done",D179&lt;&gt;"Done"),"Yes","No")</f>
        <v/>
      </c>
    </row>
    <row r="180">
      <c r="A180" s="2" t="inlineStr">
        <is>
          <t>INV-L04</t>
        </is>
      </c>
      <c r="B180" s="2" t="inlineStr">
        <is>
          <t>INV-003</t>
        </is>
      </c>
      <c r="C180" s="2">
        <f>IFERROR(INDEX(Issues!$L$2:$L$245,MATCH(A180,Issues!$A$2:$A$245,0)),"")</f>
        <v/>
      </c>
      <c r="D180" s="2">
        <f>IFERROR(INDEX(Issues!$L$2:$L$245,MATCH(B180,Issues!$A$2:$A$245,0)),"")</f>
        <v/>
      </c>
      <c r="E180" s="2">
        <f>IF(AND(C180&lt;&gt;"Done",D180&lt;&gt;"Done"),"Yes","No")</f>
        <v/>
      </c>
    </row>
    <row r="181">
      <c r="A181" s="2" t="inlineStr">
        <is>
          <t>INV-L04</t>
        </is>
      </c>
      <c r="B181" s="2" t="inlineStr">
        <is>
          <t>ENG-L02</t>
        </is>
      </c>
      <c r="C181" s="2">
        <f>IFERROR(INDEX(Issues!$L$2:$L$245,MATCH(A181,Issues!$A$2:$A$245,0)),"")</f>
        <v/>
      </c>
      <c r="D181" s="2">
        <f>IFERROR(INDEX(Issues!$L$2:$L$245,MATCH(B181,Issues!$A$2:$A$245,0)),"")</f>
        <v/>
      </c>
      <c r="E181" s="2">
        <f>IF(AND(C181&lt;&gt;"Done",D181&lt;&gt;"Done"),"Yes","No")</f>
        <v/>
      </c>
    </row>
    <row r="182">
      <c r="A182" s="2" t="inlineStr">
        <is>
          <t>MDT-001</t>
        </is>
      </c>
      <c r="B182" s="2" t="inlineStr">
        <is>
          <t>TRS-001</t>
        </is>
      </c>
      <c r="C182" s="2">
        <f>IFERROR(INDEX(Issues!$L$2:$L$245,MATCH(A182,Issues!$A$2:$A$245,0)),"")</f>
        <v/>
      </c>
      <c r="D182" s="2">
        <f>IFERROR(INDEX(Issues!$L$2:$L$245,MATCH(B182,Issues!$A$2:$A$245,0)),"")</f>
        <v/>
      </c>
      <c r="E182" s="2">
        <f>IF(AND(C182&lt;&gt;"Done",D182&lt;&gt;"Done"),"Yes","No")</f>
        <v/>
      </c>
    </row>
    <row r="183">
      <c r="A183" s="2" t="inlineStr">
        <is>
          <t>MDT-002</t>
        </is>
      </c>
      <c r="B183" s="2" t="inlineStr">
        <is>
          <t>MDT-001</t>
        </is>
      </c>
      <c r="C183" s="2">
        <f>IFERROR(INDEX(Issues!$L$2:$L$245,MATCH(A183,Issues!$A$2:$A$245,0)),"")</f>
        <v/>
      </c>
      <c r="D183" s="2">
        <f>IFERROR(INDEX(Issues!$L$2:$L$245,MATCH(B183,Issues!$A$2:$A$245,0)),"")</f>
        <v/>
      </c>
      <c r="E183" s="2">
        <f>IF(AND(C183&lt;&gt;"Done",D183&lt;&gt;"Done"),"Yes","No")</f>
        <v/>
      </c>
    </row>
    <row r="184">
      <c r="A184" s="2" t="inlineStr">
        <is>
          <t>MDT-002</t>
        </is>
      </c>
      <c r="B184" s="2" t="inlineStr">
        <is>
          <t>ENG-001</t>
        </is>
      </c>
      <c r="C184" s="2">
        <f>IFERROR(INDEX(Issues!$L$2:$L$245,MATCH(A184,Issues!$A$2:$A$245,0)),"")</f>
        <v/>
      </c>
      <c r="D184" s="2">
        <f>IFERROR(INDEX(Issues!$L$2:$L$245,MATCH(B184,Issues!$A$2:$A$245,0)),"")</f>
        <v/>
      </c>
      <c r="E184" s="2">
        <f>IF(AND(C184&lt;&gt;"Done",D184&lt;&gt;"Done"),"Yes","No")</f>
        <v/>
      </c>
    </row>
    <row r="185">
      <c r="A185" s="2" t="inlineStr">
        <is>
          <t>MDT-003</t>
        </is>
      </c>
      <c r="B185" s="2" t="inlineStr">
        <is>
          <t>MDT-002</t>
        </is>
      </c>
      <c r="C185" s="2">
        <f>IFERROR(INDEX(Issues!$L$2:$L$245,MATCH(A185,Issues!$A$2:$A$245,0)),"")</f>
        <v/>
      </c>
      <c r="D185" s="2">
        <f>IFERROR(INDEX(Issues!$L$2:$L$245,MATCH(B185,Issues!$A$2:$A$245,0)),"")</f>
        <v/>
      </c>
      <c r="E185" s="2">
        <f>IF(AND(C185&lt;&gt;"Done",D185&lt;&gt;"Done"),"Yes","No")</f>
        <v/>
      </c>
    </row>
    <row r="186">
      <c r="A186" s="2" t="inlineStr">
        <is>
          <t>MDT-003</t>
        </is>
      </c>
      <c r="B186" s="2" t="inlineStr">
        <is>
          <t>MDT-009</t>
        </is>
      </c>
      <c r="C186" s="2">
        <f>IFERROR(INDEX(Issues!$L$2:$L$245,MATCH(A186,Issues!$A$2:$A$245,0)),"")</f>
        <v/>
      </c>
      <c r="D186" s="2">
        <f>IFERROR(INDEX(Issues!$L$2:$L$245,MATCH(B186,Issues!$A$2:$A$245,0)),"")</f>
        <v/>
      </c>
      <c r="E186" s="2">
        <f>IF(AND(C186&lt;&gt;"Done",D186&lt;&gt;"Done"),"Yes","No")</f>
        <v/>
      </c>
    </row>
    <row r="187">
      <c r="A187" s="2" t="inlineStr">
        <is>
          <t>MDT-003</t>
        </is>
      </c>
      <c r="B187" s="2" t="inlineStr">
        <is>
          <t>TRS-006</t>
        </is>
      </c>
      <c r="C187" s="2">
        <f>IFERROR(INDEX(Issues!$L$2:$L$245,MATCH(A187,Issues!$A$2:$A$245,0)),"")</f>
        <v/>
      </c>
      <c r="D187" s="2">
        <f>IFERROR(INDEX(Issues!$L$2:$L$245,MATCH(B187,Issues!$A$2:$A$245,0)),"")</f>
        <v/>
      </c>
      <c r="E187" s="2">
        <f>IF(AND(C187&lt;&gt;"Done",D187&lt;&gt;"Done"),"Yes","No")</f>
        <v/>
      </c>
    </row>
    <row r="188">
      <c r="A188" s="2" t="inlineStr">
        <is>
          <t>MDT-003</t>
        </is>
      </c>
      <c r="B188" s="2" t="inlineStr">
        <is>
          <t>CHR-003</t>
        </is>
      </c>
      <c r="C188" s="2">
        <f>IFERROR(INDEX(Issues!$L$2:$L$245,MATCH(A188,Issues!$A$2:$A$245,0)),"")</f>
        <v/>
      </c>
      <c r="D188" s="2">
        <f>IFERROR(INDEX(Issues!$L$2:$L$245,MATCH(B188,Issues!$A$2:$A$245,0)),"")</f>
        <v/>
      </c>
      <c r="E188" s="2">
        <f>IF(AND(C188&lt;&gt;"Done",D188&lt;&gt;"Done"),"Yes","No")</f>
        <v/>
      </c>
    </row>
    <row r="189">
      <c r="A189" s="2" t="inlineStr">
        <is>
          <t>MDT-004</t>
        </is>
      </c>
      <c r="B189" s="2" t="inlineStr">
        <is>
          <t>MDT-001</t>
        </is>
      </c>
      <c r="C189" s="2">
        <f>IFERROR(INDEX(Issues!$L$2:$L$245,MATCH(A189,Issues!$A$2:$A$245,0)),"")</f>
        <v/>
      </c>
      <c r="D189" s="2">
        <f>IFERROR(INDEX(Issues!$L$2:$L$245,MATCH(B189,Issues!$A$2:$A$245,0)),"")</f>
        <v/>
      </c>
      <c r="E189" s="2">
        <f>IF(AND(C189&lt;&gt;"Done",D189&lt;&gt;"Done"),"Yes","No")</f>
        <v/>
      </c>
    </row>
    <row r="190">
      <c r="A190" s="2" t="inlineStr">
        <is>
          <t>MDT-004</t>
        </is>
      </c>
      <c r="B190" s="2" t="inlineStr">
        <is>
          <t>CMP-001</t>
        </is>
      </c>
      <c r="C190" s="2">
        <f>IFERROR(INDEX(Issues!$L$2:$L$245,MATCH(A190,Issues!$A$2:$A$245,0)),"")</f>
        <v/>
      </c>
      <c r="D190" s="2">
        <f>IFERROR(INDEX(Issues!$L$2:$L$245,MATCH(B190,Issues!$A$2:$A$245,0)),"")</f>
        <v/>
      </c>
      <c r="E190" s="2">
        <f>IF(AND(C190&lt;&gt;"Done",D190&lt;&gt;"Done"),"Yes","No")</f>
        <v/>
      </c>
    </row>
    <row r="191">
      <c r="A191" s="2" t="inlineStr">
        <is>
          <t>MDT-005</t>
        </is>
      </c>
      <c r="B191" s="2" t="inlineStr">
        <is>
          <t>MDT-004</t>
        </is>
      </c>
      <c r="C191" s="2">
        <f>IFERROR(INDEX(Issues!$L$2:$L$245,MATCH(A191,Issues!$A$2:$A$245,0)),"")</f>
        <v/>
      </c>
      <c r="D191" s="2">
        <f>IFERROR(INDEX(Issues!$L$2:$L$245,MATCH(B191,Issues!$A$2:$A$245,0)),"")</f>
        <v/>
      </c>
      <c r="E191" s="2">
        <f>IF(AND(C191&lt;&gt;"Done",D191&lt;&gt;"Done"),"Yes","No")</f>
        <v/>
      </c>
    </row>
    <row r="192">
      <c r="A192" s="2" t="inlineStr">
        <is>
          <t>MDT-005</t>
        </is>
      </c>
      <c r="B192" s="2" t="inlineStr">
        <is>
          <t>MDT-009</t>
        </is>
      </c>
      <c r="C192" s="2">
        <f>IFERROR(INDEX(Issues!$L$2:$L$245,MATCH(A192,Issues!$A$2:$A$245,0)),"")</f>
        <v/>
      </c>
      <c r="D192" s="2">
        <f>IFERROR(INDEX(Issues!$L$2:$L$245,MATCH(B192,Issues!$A$2:$A$245,0)),"")</f>
        <v/>
      </c>
      <c r="E192" s="2">
        <f>IF(AND(C192&lt;&gt;"Done",D192&lt;&gt;"Done"),"Yes","No")</f>
        <v/>
      </c>
    </row>
    <row r="193">
      <c r="A193" s="2" t="inlineStr">
        <is>
          <t>MDT-005</t>
        </is>
      </c>
      <c r="B193" s="2" t="inlineStr">
        <is>
          <t>CHR-005</t>
        </is>
      </c>
      <c r="C193" s="2">
        <f>IFERROR(INDEX(Issues!$L$2:$L$245,MATCH(A193,Issues!$A$2:$A$245,0)),"")</f>
        <v/>
      </c>
      <c r="D193" s="2">
        <f>IFERROR(INDEX(Issues!$L$2:$L$245,MATCH(B193,Issues!$A$2:$A$245,0)),"")</f>
        <v/>
      </c>
      <c r="E193" s="2">
        <f>IF(AND(C193&lt;&gt;"Done",D193&lt;&gt;"Done"),"Yes","No")</f>
        <v/>
      </c>
    </row>
    <row r="194">
      <c r="A194" s="2" t="inlineStr">
        <is>
          <t>MDT-006</t>
        </is>
      </c>
      <c r="B194" s="2" t="inlineStr">
        <is>
          <t>MDT-003</t>
        </is>
      </c>
      <c r="C194" s="2">
        <f>IFERROR(INDEX(Issues!$L$2:$L$245,MATCH(A194,Issues!$A$2:$A$245,0)),"")</f>
        <v/>
      </c>
      <c r="D194" s="2">
        <f>IFERROR(INDEX(Issues!$L$2:$L$245,MATCH(B194,Issues!$A$2:$A$245,0)),"")</f>
        <v/>
      </c>
      <c r="E194" s="2">
        <f>IF(AND(C194&lt;&gt;"Done",D194&lt;&gt;"Done"),"Yes","No")</f>
        <v/>
      </c>
    </row>
    <row r="195">
      <c r="A195" s="2" t="inlineStr">
        <is>
          <t>MDT-006</t>
        </is>
      </c>
      <c r="B195" s="2" t="inlineStr">
        <is>
          <t>MDT-009</t>
        </is>
      </c>
      <c r="C195" s="2">
        <f>IFERROR(INDEX(Issues!$L$2:$L$245,MATCH(A195,Issues!$A$2:$A$245,0)),"")</f>
        <v/>
      </c>
      <c r="D195" s="2">
        <f>IFERROR(INDEX(Issues!$L$2:$L$245,MATCH(B195,Issues!$A$2:$A$245,0)),"")</f>
        <v/>
      </c>
      <c r="E195" s="2">
        <f>IF(AND(C195&lt;&gt;"Done",D195&lt;&gt;"Done"),"Yes","No")</f>
        <v/>
      </c>
    </row>
    <row r="196">
      <c r="A196" s="2" t="inlineStr">
        <is>
          <t>MDT-006</t>
        </is>
      </c>
      <c r="B196" s="2" t="inlineStr">
        <is>
          <t>INV-010</t>
        </is>
      </c>
      <c r="C196" s="2">
        <f>IFERROR(INDEX(Issues!$L$2:$L$245,MATCH(A196,Issues!$A$2:$A$245,0)),"")</f>
        <v/>
      </c>
      <c r="D196" s="2">
        <f>IFERROR(INDEX(Issues!$L$2:$L$245,MATCH(B196,Issues!$A$2:$A$245,0)),"")</f>
        <v/>
      </c>
      <c r="E196" s="2">
        <f>IF(AND(C196&lt;&gt;"Done",D196&lt;&gt;"Done"),"Yes","No")</f>
        <v/>
      </c>
    </row>
    <row r="197">
      <c r="A197" s="2" t="inlineStr">
        <is>
          <t>MDT-007</t>
        </is>
      </c>
      <c r="B197" s="2" t="inlineStr">
        <is>
          <t>MDT-003</t>
        </is>
      </c>
      <c r="C197" s="2">
        <f>IFERROR(INDEX(Issues!$L$2:$L$245,MATCH(A197,Issues!$A$2:$A$245,0)),"")</f>
        <v/>
      </c>
      <c r="D197" s="2">
        <f>IFERROR(INDEX(Issues!$L$2:$L$245,MATCH(B197,Issues!$A$2:$A$245,0)),"")</f>
        <v/>
      </c>
      <c r="E197" s="2">
        <f>IF(AND(C197&lt;&gt;"Done",D197&lt;&gt;"Done"),"Yes","No")</f>
        <v/>
      </c>
    </row>
    <row r="198">
      <c r="A198" s="2" t="inlineStr">
        <is>
          <t>MDT-007</t>
        </is>
      </c>
      <c r="B198" s="2" t="inlineStr">
        <is>
          <t>MDT-009</t>
        </is>
      </c>
      <c r="C198" s="2">
        <f>IFERROR(INDEX(Issues!$L$2:$L$245,MATCH(A198,Issues!$A$2:$A$245,0)),"")</f>
        <v/>
      </c>
      <c r="D198" s="2">
        <f>IFERROR(INDEX(Issues!$L$2:$L$245,MATCH(B198,Issues!$A$2:$A$245,0)),"")</f>
        <v/>
      </c>
      <c r="E198" s="2">
        <f>IF(AND(C198&lt;&gt;"Done",D198&lt;&gt;"Done"),"Yes","No")</f>
        <v/>
      </c>
    </row>
    <row r="199">
      <c r="A199" s="2" t="inlineStr">
        <is>
          <t>MDT-007</t>
        </is>
      </c>
      <c r="B199" s="2" t="inlineStr">
        <is>
          <t>EXE-013</t>
        </is>
      </c>
      <c r="C199" s="2">
        <f>IFERROR(INDEX(Issues!$L$2:$L$245,MATCH(A199,Issues!$A$2:$A$245,0)),"")</f>
        <v/>
      </c>
      <c r="D199" s="2">
        <f>IFERROR(INDEX(Issues!$L$2:$L$245,MATCH(B199,Issues!$A$2:$A$245,0)),"")</f>
        <v/>
      </c>
      <c r="E199" s="2">
        <f>IF(AND(C199&lt;&gt;"Done",D199&lt;&gt;"Done"),"Yes","No")</f>
        <v/>
      </c>
    </row>
    <row r="200">
      <c r="A200" s="2" t="inlineStr">
        <is>
          <t>MDT-008</t>
        </is>
      </c>
      <c r="B200" s="2" t="inlineStr">
        <is>
          <t>MDT-003</t>
        </is>
      </c>
      <c r="C200" s="2">
        <f>IFERROR(INDEX(Issues!$L$2:$L$245,MATCH(A200,Issues!$A$2:$A$245,0)),"")</f>
        <v/>
      </c>
      <c r="D200" s="2">
        <f>IFERROR(INDEX(Issues!$L$2:$L$245,MATCH(B200,Issues!$A$2:$A$245,0)),"")</f>
        <v/>
      </c>
      <c r="E200" s="2">
        <f>IF(AND(C200&lt;&gt;"Done",D200&lt;&gt;"Done"),"Yes","No")</f>
        <v/>
      </c>
    </row>
    <row r="201">
      <c r="A201" s="2" t="inlineStr">
        <is>
          <t>MDT-009</t>
        </is>
      </c>
      <c r="B201" s="2" t="inlineStr">
        <is>
          <t>MDT-001</t>
        </is>
      </c>
      <c r="C201" s="2">
        <f>IFERROR(INDEX(Issues!$L$2:$L$245,MATCH(A201,Issues!$A$2:$A$245,0)),"")</f>
        <v/>
      </c>
      <c r="D201" s="2">
        <f>IFERROR(INDEX(Issues!$L$2:$L$245,MATCH(B201,Issues!$A$2:$A$245,0)),"")</f>
        <v/>
      </c>
      <c r="E201" s="2">
        <f>IF(AND(C201&lt;&gt;"Done",D201&lt;&gt;"Done"),"Yes","No")</f>
        <v/>
      </c>
    </row>
    <row r="202">
      <c r="A202" s="2" t="inlineStr">
        <is>
          <t>MDT-009</t>
        </is>
      </c>
      <c r="B202" s="2" t="inlineStr">
        <is>
          <t>TRS-005</t>
        </is>
      </c>
      <c r="C202" s="2">
        <f>IFERROR(INDEX(Issues!$L$2:$L$245,MATCH(A202,Issues!$A$2:$A$245,0)),"")</f>
        <v/>
      </c>
      <c r="D202" s="2">
        <f>IFERROR(INDEX(Issues!$L$2:$L$245,MATCH(B202,Issues!$A$2:$A$245,0)),"")</f>
        <v/>
      </c>
      <c r="E202" s="2">
        <f>IF(AND(C202&lt;&gt;"Done",D202&lt;&gt;"Done"),"Yes","No")</f>
        <v/>
      </c>
    </row>
    <row r="203">
      <c r="A203" s="2" t="inlineStr">
        <is>
          <t>MDT-010</t>
        </is>
      </c>
      <c r="B203" s="2" t="inlineStr">
        <is>
          <t>MDT-009</t>
        </is>
      </c>
      <c r="C203" s="2">
        <f>IFERROR(INDEX(Issues!$L$2:$L$245,MATCH(A203,Issues!$A$2:$A$245,0)),"")</f>
        <v/>
      </c>
      <c r="D203" s="2">
        <f>IFERROR(INDEX(Issues!$L$2:$L$245,MATCH(B203,Issues!$A$2:$A$245,0)),"")</f>
        <v/>
      </c>
      <c r="E203" s="2">
        <f>IF(AND(C203&lt;&gt;"Done",D203&lt;&gt;"Done"),"Yes","No")</f>
        <v/>
      </c>
    </row>
    <row r="204">
      <c r="A204" s="2" t="inlineStr">
        <is>
          <t>MDT-010</t>
        </is>
      </c>
      <c r="B204" s="2" t="inlineStr">
        <is>
          <t>EXE-013</t>
        </is>
      </c>
      <c r="C204" s="2">
        <f>IFERROR(INDEX(Issues!$L$2:$L$245,MATCH(A204,Issues!$A$2:$A$245,0)),"")</f>
        <v/>
      </c>
      <c r="D204" s="2">
        <f>IFERROR(INDEX(Issues!$L$2:$L$245,MATCH(B204,Issues!$A$2:$A$245,0)),"")</f>
        <v/>
      </c>
      <c r="E204" s="2">
        <f>IF(AND(C204&lt;&gt;"Done",D204&lt;&gt;"Done"),"Yes","No")</f>
        <v/>
      </c>
    </row>
    <row r="205">
      <c r="A205" s="2" t="inlineStr">
        <is>
          <t>MDT-010</t>
        </is>
      </c>
      <c r="B205" s="2" t="inlineStr">
        <is>
          <t>TRS-006</t>
        </is>
      </c>
      <c r="C205" s="2">
        <f>IFERROR(INDEX(Issues!$L$2:$L$245,MATCH(A205,Issues!$A$2:$A$245,0)),"")</f>
        <v/>
      </c>
      <c r="D205" s="2">
        <f>IFERROR(INDEX(Issues!$L$2:$L$245,MATCH(B205,Issues!$A$2:$A$245,0)),"")</f>
        <v/>
      </c>
      <c r="E205" s="2">
        <f>IF(AND(C205&lt;&gt;"Done",D205&lt;&gt;"Done"),"Yes","No")</f>
        <v/>
      </c>
    </row>
    <row r="206">
      <c r="A206" s="2" t="inlineStr">
        <is>
          <t>MDT-011</t>
        </is>
      </c>
      <c r="B206" s="2" t="inlineStr">
        <is>
          <t>MDT-009</t>
        </is>
      </c>
      <c r="C206" s="2">
        <f>IFERROR(INDEX(Issues!$L$2:$L$245,MATCH(A206,Issues!$A$2:$A$245,0)),"")</f>
        <v/>
      </c>
      <c r="D206" s="2">
        <f>IFERROR(INDEX(Issues!$L$2:$L$245,MATCH(B206,Issues!$A$2:$A$245,0)),"")</f>
        <v/>
      </c>
      <c r="E206" s="2">
        <f>IF(AND(C206&lt;&gt;"Done",D206&lt;&gt;"Done"),"Yes","No")</f>
        <v/>
      </c>
    </row>
    <row r="207">
      <c r="A207" s="2" t="inlineStr">
        <is>
          <t>MDT-011</t>
        </is>
      </c>
      <c r="B207" s="2" t="inlineStr">
        <is>
          <t>SC-026</t>
        </is>
      </c>
      <c r="C207" s="2">
        <f>IFERROR(INDEX(Issues!$L$2:$L$245,MATCH(A207,Issues!$A$2:$A$245,0)),"")</f>
        <v/>
      </c>
      <c r="D207" s="2">
        <f>IFERROR(INDEX(Issues!$L$2:$L$245,MATCH(B207,Issues!$A$2:$A$245,0)),"")</f>
        <v/>
      </c>
      <c r="E207" s="2">
        <f>IF(AND(C207&lt;&gt;"Done",D207&lt;&gt;"Done"),"Yes","No")</f>
        <v/>
      </c>
    </row>
    <row r="208">
      <c r="A208" s="2" t="inlineStr">
        <is>
          <t>MDT-L01</t>
        </is>
      </c>
      <c r="B208" s="2" t="inlineStr">
        <is>
          <t>MDT-002</t>
        </is>
      </c>
      <c r="C208" s="2">
        <f>IFERROR(INDEX(Issues!$L$2:$L$245,MATCH(A208,Issues!$A$2:$A$245,0)),"")</f>
        <v/>
      </c>
      <c r="D208" s="2">
        <f>IFERROR(INDEX(Issues!$L$2:$L$245,MATCH(B208,Issues!$A$2:$A$245,0)),"")</f>
        <v/>
      </c>
      <c r="E208" s="2">
        <f>IF(AND(C208&lt;&gt;"Done",D208&lt;&gt;"Done"),"Yes","No")</f>
        <v/>
      </c>
    </row>
    <row r="209">
      <c r="A209" s="2" t="inlineStr">
        <is>
          <t>MDT-L01</t>
        </is>
      </c>
      <c r="B209" s="2" t="inlineStr">
        <is>
          <t>SC-L02</t>
        </is>
      </c>
      <c r="C209" s="2">
        <f>IFERROR(INDEX(Issues!$L$2:$L$245,MATCH(A209,Issues!$A$2:$A$245,0)),"")</f>
        <v/>
      </c>
      <c r="D209" s="2">
        <f>IFERROR(INDEX(Issues!$L$2:$L$245,MATCH(B209,Issues!$A$2:$A$245,0)),"")</f>
        <v/>
      </c>
      <c r="E209" s="2">
        <f>IF(AND(C209&lt;&gt;"Done",D209&lt;&gt;"Done"),"Yes","No")</f>
        <v/>
      </c>
    </row>
    <row r="210">
      <c r="A210" s="2" t="inlineStr">
        <is>
          <t>NTF-001</t>
        </is>
      </c>
      <c r="B210" s="2" t="inlineStr">
        <is>
          <t>INV-002</t>
        </is>
      </c>
      <c r="C210" s="2">
        <f>IFERROR(INDEX(Issues!$L$2:$L$245,MATCH(A210,Issues!$A$2:$A$245,0)),"")</f>
        <v/>
      </c>
      <c r="D210" s="2">
        <f>IFERROR(INDEX(Issues!$L$2:$L$245,MATCH(B210,Issues!$A$2:$A$245,0)),"")</f>
        <v/>
      </c>
      <c r="E210" s="2">
        <f>IF(AND(C210&lt;&gt;"Done",D210&lt;&gt;"Done"),"Yes","No")</f>
        <v/>
      </c>
    </row>
    <row r="211">
      <c r="A211" s="2" t="inlineStr">
        <is>
          <t>NTF-002</t>
        </is>
      </c>
      <c r="B211" s="2" t="inlineStr">
        <is>
          <t>NTF-001</t>
        </is>
      </c>
      <c r="C211" s="2">
        <f>IFERROR(INDEX(Issues!$L$2:$L$245,MATCH(A211,Issues!$A$2:$A$245,0)),"")</f>
        <v/>
      </c>
      <c r="D211" s="2">
        <f>IFERROR(INDEX(Issues!$L$2:$L$245,MATCH(B211,Issues!$A$2:$A$245,0)),"")</f>
        <v/>
      </c>
      <c r="E211" s="2">
        <f>IF(AND(C211&lt;&gt;"Done",D211&lt;&gt;"Done"),"Yes","No")</f>
        <v/>
      </c>
    </row>
    <row r="212">
      <c r="A212" s="2" t="inlineStr">
        <is>
          <t>NTF-003</t>
        </is>
      </c>
      <c r="B212" s="2" t="inlineStr">
        <is>
          <t>NTF-001</t>
        </is>
      </c>
      <c r="C212" s="2">
        <f>IFERROR(INDEX(Issues!$L$2:$L$245,MATCH(A212,Issues!$A$2:$A$245,0)),"")</f>
        <v/>
      </c>
      <c r="D212" s="2">
        <f>IFERROR(INDEX(Issues!$L$2:$L$245,MATCH(B212,Issues!$A$2:$A$245,0)),"")</f>
        <v/>
      </c>
      <c r="E212" s="2">
        <f>IF(AND(C212&lt;&gt;"Done",D212&lt;&gt;"Done"),"Yes","No")</f>
        <v/>
      </c>
    </row>
    <row r="213">
      <c r="A213" s="2" t="inlineStr">
        <is>
          <t>NTF-L01</t>
        </is>
      </c>
      <c r="B213" s="2" t="inlineStr">
        <is>
          <t>NTF-001</t>
        </is>
      </c>
      <c r="C213" s="2">
        <f>IFERROR(INDEX(Issues!$L$2:$L$245,MATCH(A213,Issues!$A$2:$A$245,0)),"")</f>
        <v/>
      </c>
      <c r="D213" s="2">
        <f>IFERROR(INDEX(Issues!$L$2:$L$245,MATCH(B213,Issues!$A$2:$A$245,0)),"")</f>
        <v/>
      </c>
      <c r="E213" s="2">
        <f>IF(AND(C213&lt;&gt;"Done",D213&lt;&gt;"Done"),"Yes","No")</f>
        <v/>
      </c>
    </row>
    <row r="214">
      <c r="A214" s="2" t="inlineStr">
        <is>
          <t>NTF-L02</t>
        </is>
      </c>
      <c r="B214" s="2" t="inlineStr">
        <is>
          <t>NTF-001</t>
        </is>
      </c>
      <c r="C214" s="2">
        <f>IFERROR(INDEX(Issues!$L$2:$L$245,MATCH(A214,Issues!$A$2:$A$245,0)),"")</f>
        <v/>
      </c>
      <c r="D214" s="2">
        <f>IFERROR(INDEX(Issues!$L$2:$L$245,MATCH(B214,Issues!$A$2:$A$245,0)),"")</f>
        <v/>
      </c>
      <c r="E214" s="2">
        <f>IF(AND(C214&lt;&gt;"Done",D214&lt;&gt;"Done"),"Yes","No")</f>
        <v/>
      </c>
    </row>
    <row r="215">
      <c r="A215" s="2" t="inlineStr">
        <is>
          <t>NTF-L03</t>
        </is>
      </c>
      <c r="B215" s="2" t="inlineStr">
        <is>
          <t>NTF-001</t>
        </is>
      </c>
      <c r="C215" s="2">
        <f>IFERROR(INDEX(Issues!$L$2:$L$245,MATCH(A215,Issues!$A$2:$A$245,0)),"")</f>
        <v/>
      </c>
      <c r="D215" s="2">
        <f>IFERROR(INDEX(Issues!$L$2:$L$245,MATCH(B215,Issues!$A$2:$A$245,0)),"")</f>
        <v/>
      </c>
      <c r="E215" s="2">
        <f>IF(AND(C215&lt;&gt;"Done",D215&lt;&gt;"Done"),"Yes","No")</f>
        <v/>
      </c>
    </row>
    <row r="216">
      <c r="A216" s="2" t="inlineStr">
        <is>
          <t>NTF-L04</t>
        </is>
      </c>
      <c r="B216" s="2" t="inlineStr">
        <is>
          <t>NTF-002</t>
        </is>
      </c>
      <c r="C216" s="2">
        <f>IFERROR(INDEX(Issues!$L$2:$L$245,MATCH(A216,Issues!$A$2:$A$245,0)),"")</f>
        <v/>
      </c>
      <c r="D216" s="2">
        <f>IFERROR(INDEX(Issues!$L$2:$L$245,MATCH(B216,Issues!$A$2:$A$245,0)),"")</f>
        <v/>
      </c>
      <c r="E216" s="2">
        <f>IF(AND(C216&lt;&gt;"Done",D216&lt;&gt;"Done"),"Yes","No")</f>
        <v/>
      </c>
    </row>
    <row r="217">
      <c r="A217" s="2" t="inlineStr">
        <is>
          <t>OBS-001</t>
        </is>
      </c>
      <c r="B217" s="2" t="inlineStr">
        <is>
          <t>CMP-003</t>
        </is>
      </c>
      <c r="C217" s="2">
        <f>IFERROR(INDEX(Issues!$L$2:$L$245,MATCH(A217,Issues!$A$2:$A$245,0)),"")</f>
        <v/>
      </c>
      <c r="D217" s="2">
        <f>IFERROR(INDEX(Issues!$L$2:$L$245,MATCH(B217,Issues!$A$2:$A$245,0)),"")</f>
        <v/>
      </c>
      <c r="E217" s="2">
        <f>IF(AND(C217&lt;&gt;"Done",D217&lt;&gt;"Done"),"Yes","No")</f>
        <v/>
      </c>
    </row>
    <row r="218">
      <c r="A218" s="2" t="inlineStr">
        <is>
          <t>OBS-002</t>
        </is>
      </c>
      <c r="B218" s="2" t="inlineStr">
        <is>
          <t>OBS-001</t>
        </is>
      </c>
      <c r="C218" s="2">
        <f>IFERROR(INDEX(Issues!$L$2:$L$245,MATCH(A218,Issues!$A$2:$A$245,0)),"")</f>
        <v/>
      </c>
      <c r="D218" s="2">
        <f>IFERROR(INDEX(Issues!$L$2:$L$245,MATCH(B218,Issues!$A$2:$A$245,0)),"")</f>
        <v/>
      </c>
      <c r="E218" s="2">
        <f>IF(AND(C218&lt;&gt;"Done",D218&lt;&gt;"Done"),"Yes","No")</f>
        <v/>
      </c>
    </row>
    <row r="219">
      <c r="A219" s="2" t="inlineStr">
        <is>
          <t>OBS-003</t>
        </is>
      </c>
      <c r="B219" s="2" t="inlineStr">
        <is>
          <t>OBS-001</t>
        </is>
      </c>
      <c r="C219" s="2">
        <f>IFERROR(INDEX(Issues!$L$2:$L$245,MATCH(A219,Issues!$A$2:$A$245,0)),"")</f>
        <v/>
      </c>
      <c r="D219" s="2">
        <f>IFERROR(INDEX(Issues!$L$2:$L$245,MATCH(B219,Issues!$A$2:$A$245,0)),"")</f>
        <v/>
      </c>
      <c r="E219" s="2">
        <f>IF(AND(C219&lt;&gt;"Done",D219&lt;&gt;"Done"),"Yes","No")</f>
        <v/>
      </c>
    </row>
    <row r="220">
      <c r="A220" s="2" t="inlineStr">
        <is>
          <t>OBS-004</t>
        </is>
      </c>
      <c r="B220" s="2" t="inlineStr">
        <is>
          <t>AUD-001</t>
        </is>
      </c>
      <c r="C220" s="2">
        <f>IFERROR(INDEX(Issues!$L$2:$L$245,MATCH(A220,Issues!$A$2:$A$245,0)),"")</f>
        <v/>
      </c>
      <c r="D220" s="2">
        <f>IFERROR(INDEX(Issues!$L$2:$L$245,MATCH(B220,Issues!$A$2:$A$245,0)),"")</f>
        <v/>
      </c>
      <c r="E220" s="2">
        <f>IF(AND(C220&lt;&gt;"Done",D220&lt;&gt;"Done"),"Yes","No")</f>
        <v/>
      </c>
    </row>
    <row r="221">
      <c r="A221" s="2" t="inlineStr">
        <is>
          <t>OBS-004</t>
        </is>
      </c>
      <c r="B221" s="2" t="inlineStr">
        <is>
          <t>EXE-008</t>
        </is>
      </c>
      <c r="C221" s="2">
        <f>IFERROR(INDEX(Issues!$L$2:$L$245,MATCH(A221,Issues!$A$2:$A$245,0)),"")</f>
        <v/>
      </c>
      <c r="D221" s="2">
        <f>IFERROR(INDEX(Issues!$L$2:$L$245,MATCH(B221,Issues!$A$2:$A$245,0)),"")</f>
        <v/>
      </c>
      <c r="E221" s="2">
        <f>IF(AND(C221&lt;&gt;"Done",D221&lt;&gt;"Done"),"Yes","No")</f>
        <v/>
      </c>
    </row>
    <row r="222">
      <c r="A222" s="2" t="inlineStr">
        <is>
          <t>OBS-005</t>
        </is>
      </c>
      <c r="B222" s="2" t="inlineStr">
        <is>
          <t>OBS-004</t>
        </is>
      </c>
      <c r="C222" s="2">
        <f>IFERROR(INDEX(Issues!$L$2:$L$245,MATCH(A222,Issues!$A$2:$A$245,0)),"")</f>
        <v/>
      </c>
      <c r="D222" s="2">
        <f>IFERROR(INDEX(Issues!$L$2:$L$245,MATCH(B222,Issues!$A$2:$A$245,0)),"")</f>
        <v/>
      </c>
      <c r="E222" s="2">
        <f>IF(AND(C222&lt;&gt;"Done",D222&lt;&gt;"Done"),"Yes","No")</f>
        <v/>
      </c>
    </row>
    <row r="223">
      <c r="A223" s="2" t="inlineStr">
        <is>
          <t>OBS-005</t>
        </is>
      </c>
      <c r="B223" s="2" t="inlineStr">
        <is>
          <t>ENG-006</t>
        </is>
      </c>
      <c r="C223" s="2">
        <f>IFERROR(INDEX(Issues!$L$2:$L$245,MATCH(A223,Issues!$A$2:$A$245,0)),"")</f>
        <v/>
      </c>
      <c r="D223" s="2">
        <f>IFERROR(INDEX(Issues!$L$2:$L$245,MATCH(B223,Issues!$A$2:$A$245,0)),"")</f>
        <v/>
      </c>
      <c r="E223" s="2">
        <f>IF(AND(C223&lt;&gt;"Done",D223&lt;&gt;"Done"),"Yes","No")</f>
        <v/>
      </c>
    </row>
    <row r="224">
      <c r="A224" s="2" t="inlineStr">
        <is>
          <t>POL-001</t>
        </is>
      </c>
      <c r="B224" s="2" t="inlineStr">
        <is>
          <t>ENG-001</t>
        </is>
      </c>
      <c r="C224" s="2">
        <f>IFERROR(INDEX(Issues!$L$2:$L$245,MATCH(A224,Issues!$A$2:$A$245,0)),"")</f>
        <v/>
      </c>
      <c r="D224" s="2">
        <f>IFERROR(INDEX(Issues!$L$2:$L$245,MATCH(B224,Issues!$A$2:$A$245,0)),"")</f>
        <v/>
      </c>
      <c r="E224" s="2">
        <f>IF(AND(C224&lt;&gt;"Done",D224&lt;&gt;"Done"),"Yes","No")</f>
        <v/>
      </c>
    </row>
    <row r="225">
      <c r="A225" s="2" t="inlineStr">
        <is>
          <t>POL-002</t>
        </is>
      </c>
      <c r="B225" s="2" t="inlineStr">
        <is>
          <t>POL-001</t>
        </is>
      </c>
      <c r="C225" s="2">
        <f>IFERROR(INDEX(Issues!$L$2:$L$245,MATCH(A225,Issues!$A$2:$A$245,0)),"")</f>
        <v/>
      </c>
      <c r="D225" s="2">
        <f>IFERROR(INDEX(Issues!$L$2:$L$245,MATCH(B225,Issues!$A$2:$A$245,0)),"")</f>
        <v/>
      </c>
      <c r="E225" s="2">
        <f>IF(AND(C225&lt;&gt;"Done",D225&lt;&gt;"Done"),"Yes","No")</f>
        <v/>
      </c>
    </row>
    <row r="226">
      <c r="A226" s="2" t="inlineStr">
        <is>
          <t>POL-002</t>
        </is>
      </c>
      <c r="B226" s="2" t="inlineStr">
        <is>
          <t>ENG-010</t>
        </is>
      </c>
      <c r="C226" s="2">
        <f>IFERROR(INDEX(Issues!$L$2:$L$245,MATCH(A226,Issues!$A$2:$A$245,0)),"")</f>
        <v/>
      </c>
      <c r="D226" s="2">
        <f>IFERROR(INDEX(Issues!$L$2:$L$245,MATCH(B226,Issues!$A$2:$A$245,0)),"")</f>
        <v/>
      </c>
      <c r="E226" s="2">
        <f>IF(AND(C226&lt;&gt;"Done",D226&lt;&gt;"Done"),"Yes","No")</f>
        <v/>
      </c>
    </row>
    <row r="227">
      <c r="A227" s="2" t="inlineStr">
        <is>
          <t>POL-003</t>
        </is>
      </c>
      <c r="B227" s="2" t="inlineStr">
        <is>
          <t>POL-002</t>
        </is>
      </c>
      <c r="C227" s="2">
        <f>IFERROR(INDEX(Issues!$L$2:$L$245,MATCH(A227,Issues!$A$2:$A$245,0)),"")</f>
        <v/>
      </c>
      <c r="D227" s="2">
        <f>IFERROR(INDEX(Issues!$L$2:$L$245,MATCH(B227,Issues!$A$2:$A$245,0)),"")</f>
        <v/>
      </c>
      <c r="E227" s="2">
        <f>IF(AND(C227&lt;&gt;"Done",D227&lt;&gt;"Done"),"Yes","No")</f>
        <v/>
      </c>
    </row>
    <row r="228">
      <c r="A228" s="2" t="inlineStr">
        <is>
          <t>POL-004</t>
        </is>
      </c>
      <c r="B228" s="2" t="inlineStr">
        <is>
          <t>POL-003</t>
        </is>
      </c>
      <c r="C228" s="2">
        <f>IFERROR(INDEX(Issues!$L$2:$L$245,MATCH(A228,Issues!$A$2:$A$245,0)),"")</f>
        <v/>
      </c>
      <c r="D228" s="2">
        <f>IFERROR(INDEX(Issues!$L$2:$L$245,MATCH(B228,Issues!$A$2:$A$245,0)),"")</f>
        <v/>
      </c>
      <c r="E228" s="2">
        <f>IF(AND(C228&lt;&gt;"Done",D228&lt;&gt;"Done"),"Yes","No")</f>
        <v/>
      </c>
    </row>
    <row r="229">
      <c r="A229" s="2" t="inlineStr">
        <is>
          <t>POL-004</t>
        </is>
      </c>
      <c r="B229" s="2" t="inlineStr">
        <is>
          <t>SC-013</t>
        </is>
      </c>
      <c r="C229" s="2">
        <f>IFERROR(INDEX(Issues!$L$2:$L$245,MATCH(A229,Issues!$A$2:$A$245,0)),"")</f>
        <v/>
      </c>
      <c r="D229" s="2">
        <f>IFERROR(INDEX(Issues!$L$2:$L$245,MATCH(B229,Issues!$A$2:$A$245,0)),"")</f>
        <v/>
      </c>
      <c r="E229" s="2">
        <f>IF(AND(C229&lt;&gt;"Done",D229&lt;&gt;"Done"),"Yes","No")</f>
        <v/>
      </c>
    </row>
    <row r="230">
      <c r="A230" s="2" t="inlineStr">
        <is>
          <t>POL-005</t>
        </is>
      </c>
      <c r="B230" s="2" t="inlineStr">
        <is>
          <t>ENG-010</t>
        </is>
      </c>
      <c r="C230" s="2">
        <f>IFERROR(INDEX(Issues!$L$2:$L$245,MATCH(A230,Issues!$A$2:$A$245,0)),"")</f>
        <v/>
      </c>
      <c r="D230" s="2">
        <f>IFERROR(INDEX(Issues!$L$2:$L$245,MATCH(B230,Issues!$A$2:$A$245,0)),"")</f>
        <v/>
      </c>
      <c r="E230" s="2">
        <f>IF(AND(C230&lt;&gt;"Done",D230&lt;&gt;"Done"),"Yes","No")</f>
        <v/>
      </c>
    </row>
    <row r="231">
      <c r="A231" s="2" t="inlineStr">
        <is>
          <t>POL-006</t>
        </is>
      </c>
      <c r="B231" s="2" t="inlineStr">
        <is>
          <t>POL-005</t>
        </is>
      </c>
      <c r="C231" s="2">
        <f>IFERROR(INDEX(Issues!$L$2:$L$245,MATCH(A231,Issues!$A$2:$A$245,0)),"")</f>
        <v/>
      </c>
      <c r="D231" s="2">
        <f>IFERROR(INDEX(Issues!$L$2:$L$245,MATCH(B231,Issues!$A$2:$A$245,0)),"")</f>
        <v/>
      </c>
      <c r="E231" s="2">
        <f>IF(AND(C231&lt;&gt;"Done",D231&lt;&gt;"Done"),"Yes","No")</f>
        <v/>
      </c>
    </row>
    <row r="232">
      <c r="A232" s="2" t="inlineStr">
        <is>
          <t>POL-007</t>
        </is>
      </c>
      <c r="B232" s="2" t="inlineStr">
        <is>
          <t>POL-003</t>
        </is>
      </c>
      <c r="C232" s="2">
        <f>IFERROR(INDEX(Issues!$L$2:$L$245,MATCH(A232,Issues!$A$2:$A$245,0)),"")</f>
        <v/>
      </c>
      <c r="D232" s="2">
        <f>IFERROR(INDEX(Issues!$L$2:$L$245,MATCH(B232,Issues!$A$2:$A$245,0)),"")</f>
        <v/>
      </c>
      <c r="E232" s="2">
        <f>IF(AND(C232&lt;&gt;"Done",D232&lt;&gt;"Done"),"Yes","No")</f>
        <v/>
      </c>
    </row>
    <row r="233">
      <c r="A233" s="2" t="inlineStr">
        <is>
          <t>POL-007</t>
        </is>
      </c>
      <c r="B233" s="2" t="inlineStr">
        <is>
          <t>POL-001</t>
        </is>
      </c>
      <c r="C233" s="2">
        <f>IFERROR(INDEX(Issues!$L$2:$L$245,MATCH(A233,Issues!$A$2:$A$245,0)),"")</f>
        <v/>
      </c>
      <c r="D233" s="2">
        <f>IFERROR(INDEX(Issues!$L$2:$L$245,MATCH(B233,Issues!$A$2:$A$245,0)),"")</f>
        <v/>
      </c>
      <c r="E233" s="2">
        <f>IF(AND(C233&lt;&gt;"Done",D233&lt;&gt;"Done"),"Yes","No")</f>
        <v/>
      </c>
    </row>
    <row r="234">
      <c r="A234" s="2" t="inlineStr">
        <is>
          <t>POL-007</t>
        </is>
      </c>
      <c r="B234" s="2" t="inlineStr">
        <is>
          <t>CHR-002</t>
        </is>
      </c>
      <c r="C234" s="2">
        <f>IFERROR(INDEX(Issues!$L$2:$L$245,MATCH(A234,Issues!$A$2:$A$245,0)),"")</f>
        <v/>
      </c>
      <c r="D234" s="2">
        <f>IFERROR(INDEX(Issues!$L$2:$L$245,MATCH(B234,Issues!$A$2:$A$245,0)),"")</f>
        <v/>
      </c>
      <c r="E234" s="2">
        <f>IF(AND(C234&lt;&gt;"Done",D234&lt;&gt;"Done"),"Yes","No")</f>
        <v/>
      </c>
    </row>
    <row r="235">
      <c r="A235" s="2" t="inlineStr">
        <is>
          <t>POL-007</t>
        </is>
      </c>
      <c r="B235" s="2" t="inlineStr">
        <is>
          <t>SC-016</t>
        </is>
      </c>
      <c r="C235" s="2">
        <f>IFERROR(INDEX(Issues!$L$2:$L$245,MATCH(A235,Issues!$A$2:$A$245,0)),"")</f>
        <v/>
      </c>
      <c r="D235" s="2">
        <f>IFERROR(INDEX(Issues!$L$2:$L$245,MATCH(B235,Issues!$A$2:$A$245,0)),"")</f>
        <v/>
      </c>
      <c r="E235" s="2">
        <f>IF(AND(C235&lt;&gt;"Done",D235&lt;&gt;"Done"),"Yes","No")</f>
        <v/>
      </c>
    </row>
    <row r="236">
      <c r="A236" s="2" t="inlineStr">
        <is>
          <t>RCV-001</t>
        </is>
      </c>
      <c r="B236" s="2" t="inlineStr">
        <is>
          <t>EXE-007</t>
        </is>
      </c>
      <c r="C236" s="2">
        <f>IFERROR(INDEX(Issues!$L$2:$L$245,MATCH(A236,Issues!$A$2:$A$245,0)),"")</f>
        <v/>
      </c>
      <c r="D236" s="2">
        <f>IFERROR(INDEX(Issues!$L$2:$L$245,MATCH(B236,Issues!$A$2:$A$245,0)),"")</f>
        <v/>
      </c>
      <c r="E236" s="2">
        <f>IF(AND(C236&lt;&gt;"Done",D236&lt;&gt;"Done"),"Yes","No")</f>
        <v/>
      </c>
    </row>
    <row r="237">
      <c r="A237" s="2" t="inlineStr">
        <is>
          <t>RCV-002</t>
        </is>
      </c>
      <c r="B237" s="2" t="inlineStr">
        <is>
          <t>RCV-001</t>
        </is>
      </c>
      <c r="C237" s="2">
        <f>IFERROR(INDEX(Issues!$L$2:$L$245,MATCH(A237,Issues!$A$2:$A$245,0)),"")</f>
        <v/>
      </c>
      <c r="D237" s="2">
        <f>IFERROR(INDEX(Issues!$L$2:$L$245,MATCH(B237,Issues!$A$2:$A$245,0)),"")</f>
        <v/>
      </c>
      <c r="E237" s="2">
        <f>IF(AND(C237&lt;&gt;"Done",D237&lt;&gt;"Done"),"Yes","No")</f>
        <v/>
      </c>
    </row>
    <row r="238">
      <c r="A238" s="2" t="inlineStr">
        <is>
          <t>RCV-002</t>
        </is>
      </c>
      <c r="B238" s="2" t="inlineStr">
        <is>
          <t>CHR-003</t>
        </is>
      </c>
      <c r="C238" s="2">
        <f>IFERROR(INDEX(Issues!$L$2:$L$245,MATCH(A238,Issues!$A$2:$A$245,0)),"")</f>
        <v/>
      </c>
      <c r="D238" s="2">
        <f>IFERROR(INDEX(Issues!$L$2:$L$245,MATCH(B238,Issues!$A$2:$A$245,0)),"")</f>
        <v/>
      </c>
      <c r="E238" s="2">
        <f>IF(AND(C238&lt;&gt;"Done",D238&lt;&gt;"Done"),"Yes","No")</f>
        <v/>
      </c>
    </row>
    <row r="239">
      <c r="A239" s="2" t="inlineStr">
        <is>
          <t>RCV-003</t>
        </is>
      </c>
      <c r="B239" s="2" t="inlineStr">
        <is>
          <t>EXE-008</t>
        </is>
      </c>
      <c r="C239" s="2">
        <f>IFERROR(INDEX(Issues!$L$2:$L$245,MATCH(A239,Issues!$A$2:$A$245,0)),"")</f>
        <v/>
      </c>
      <c r="D239" s="2">
        <f>IFERROR(INDEX(Issues!$L$2:$L$245,MATCH(B239,Issues!$A$2:$A$245,0)),"")</f>
        <v/>
      </c>
      <c r="E239" s="2">
        <f>IF(AND(C239&lt;&gt;"Done",D239&lt;&gt;"Done"),"Yes","No")</f>
        <v/>
      </c>
    </row>
    <row r="240">
      <c r="A240" s="2" t="inlineStr">
        <is>
          <t>RCV-004</t>
        </is>
      </c>
      <c r="B240" s="2" t="inlineStr">
        <is>
          <t>INV-002</t>
        </is>
      </c>
      <c r="C240" s="2">
        <f>IFERROR(INDEX(Issues!$L$2:$L$245,MATCH(A240,Issues!$A$2:$A$245,0)),"")</f>
        <v/>
      </c>
      <c r="D240" s="2">
        <f>IFERROR(INDEX(Issues!$L$2:$L$245,MATCH(B240,Issues!$A$2:$A$245,0)),"")</f>
        <v/>
      </c>
      <c r="E240" s="2">
        <f>IF(AND(C240&lt;&gt;"Done",D240&lt;&gt;"Done"),"Yes","No")</f>
        <v/>
      </c>
    </row>
    <row r="241">
      <c r="A241" s="2" t="inlineStr">
        <is>
          <t>RCV-005</t>
        </is>
      </c>
      <c r="B241" s="2" t="inlineStr">
        <is>
          <t>EXE-007</t>
        </is>
      </c>
      <c r="C241" s="2">
        <f>IFERROR(INDEX(Issues!$L$2:$L$245,MATCH(A241,Issues!$A$2:$A$245,0)),"")</f>
        <v/>
      </c>
      <c r="D241" s="2">
        <f>IFERROR(INDEX(Issues!$L$2:$L$245,MATCH(B241,Issues!$A$2:$A$245,0)),"")</f>
        <v/>
      </c>
      <c r="E241" s="2">
        <f>IF(AND(C241&lt;&gt;"Done",D241&lt;&gt;"Done"),"Yes","No")</f>
        <v/>
      </c>
    </row>
    <row r="242">
      <c r="A242" s="2" t="inlineStr">
        <is>
          <t>RCV-006</t>
        </is>
      </c>
      <c r="B242" s="2" t="inlineStr">
        <is>
          <t>REC-001</t>
        </is>
      </c>
      <c r="C242" s="2">
        <f>IFERROR(INDEX(Issues!$L$2:$L$245,MATCH(A242,Issues!$A$2:$A$245,0)),"")</f>
        <v/>
      </c>
      <c r="D242" s="2">
        <f>IFERROR(INDEX(Issues!$L$2:$L$245,MATCH(B242,Issues!$A$2:$A$245,0)),"")</f>
        <v/>
      </c>
      <c r="E242" s="2">
        <f>IF(AND(C242&lt;&gt;"Done",D242&lt;&gt;"Done"),"Yes","No")</f>
        <v/>
      </c>
    </row>
    <row r="243">
      <c r="A243" s="2" t="inlineStr">
        <is>
          <t>RCV-006</t>
        </is>
      </c>
      <c r="B243" s="2" t="inlineStr">
        <is>
          <t>MDT-007</t>
        </is>
      </c>
      <c r="C243" s="2">
        <f>IFERROR(INDEX(Issues!$L$2:$L$245,MATCH(A243,Issues!$A$2:$A$245,0)),"")</f>
        <v/>
      </c>
      <c r="D243" s="2">
        <f>IFERROR(INDEX(Issues!$L$2:$L$245,MATCH(B243,Issues!$A$2:$A$245,0)),"")</f>
        <v/>
      </c>
      <c r="E243" s="2">
        <f>IF(AND(C243&lt;&gt;"Done",D243&lt;&gt;"Done"),"Yes","No")</f>
        <v/>
      </c>
    </row>
    <row r="244">
      <c r="A244" s="2" t="inlineStr">
        <is>
          <t>RCV-006</t>
        </is>
      </c>
      <c r="B244" s="2" t="inlineStr">
        <is>
          <t>EXE-013</t>
        </is>
      </c>
      <c r="C244" s="2">
        <f>IFERROR(INDEX(Issues!$L$2:$L$245,MATCH(A244,Issues!$A$2:$A$245,0)),"")</f>
        <v/>
      </c>
      <c r="D244" s="2">
        <f>IFERROR(INDEX(Issues!$L$2:$L$245,MATCH(B244,Issues!$A$2:$A$245,0)),"")</f>
        <v/>
      </c>
      <c r="E244" s="2">
        <f>IF(AND(C244&lt;&gt;"Done",D244&lt;&gt;"Done"),"Yes","No")</f>
        <v/>
      </c>
    </row>
    <row r="245">
      <c r="A245" s="2" t="inlineStr">
        <is>
          <t>RCV-006</t>
        </is>
      </c>
      <c r="B245" s="2" t="inlineStr">
        <is>
          <t>CHR-006</t>
        </is>
      </c>
      <c r="C245" s="2">
        <f>IFERROR(INDEX(Issues!$L$2:$L$245,MATCH(A245,Issues!$A$2:$A$245,0)),"")</f>
        <v/>
      </c>
      <c r="D245" s="2">
        <f>IFERROR(INDEX(Issues!$L$2:$L$245,MATCH(B245,Issues!$A$2:$A$245,0)),"")</f>
        <v/>
      </c>
      <c r="E245" s="2">
        <f>IF(AND(C245&lt;&gt;"Done",D245&lt;&gt;"Done"),"Yes","No")</f>
        <v/>
      </c>
    </row>
    <row r="246">
      <c r="A246" s="2" t="inlineStr">
        <is>
          <t>RCV-007</t>
        </is>
      </c>
      <c r="B246" s="2" t="inlineStr">
        <is>
          <t>RCV-002</t>
        </is>
      </c>
      <c r="C246" s="2">
        <f>IFERROR(INDEX(Issues!$L$2:$L$245,MATCH(A246,Issues!$A$2:$A$245,0)),"")</f>
        <v/>
      </c>
      <c r="D246" s="2">
        <f>IFERROR(INDEX(Issues!$L$2:$L$245,MATCH(B246,Issues!$A$2:$A$245,0)),"")</f>
        <v/>
      </c>
      <c r="E246" s="2">
        <f>IF(AND(C246&lt;&gt;"Done",D246&lt;&gt;"Done"),"Yes","No")</f>
        <v/>
      </c>
    </row>
    <row r="247">
      <c r="A247" s="2" t="inlineStr">
        <is>
          <t>REC-001</t>
        </is>
      </c>
      <c r="B247" s="2" t="inlineStr">
        <is>
          <t>EXE-008</t>
        </is>
      </c>
      <c r="C247" s="2">
        <f>IFERROR(INDEX(Issues!$L$2:$L$245,MATCH(A247,Issues!$A$2:$A$245,0)),"")</f>
        <v/>
      </c>
      <c r="D247" s="2">
        <f>IFERROR(INDEX(Issues!$L$2:$L$245,MATCH(B247,Issues!$A$2:$A$245,0)),"")</f>
        <v/>
      </c>
      <c r="E247" s="2">
        <f>IF(AND(C247&lt;&gt;"Done",D247&lt;&gt;"Done"),"Yes","No")</f>
        <v/>
      </c>
    </row>
    <row r="248">
      <c r="A248" s="2" t="inlineStr">
        <is>
          <t>REC-002</t>
        </is>
      </c>
      <c r="B248" s="2" t="inlineStr">
        <is>
          <t>REC-001</t>
        </is>
      </c>
      <c r="C248" s="2">
        <f>IFERROR(INDEX(Issues!$L$2:$L$245,MATCH(A248,Issues!$A$2:$A$245,0)),"")</f>
        <v/>
      </c>
      <c r="D248" s="2">
        <f>IFERROR(INDEX(Issues!$L$2:$L$245,MATCH(B248,Issues!$A$2:$A$245,0)),"")</f>
        <v/>
      </c>
      <c r="E248" s="2">
        <f>IF(AND(C248&lt;&gt;"Done",D248&lt;&gt;"Done"),"Yes","No")</f>
        <v/>
      </c>
    </row>
    <row r="249">
      <c r="A249" s="2" t="inlineStr">
        <is>
          <t>REC-003</t>
        </is>
      </c>
      <c r="B249" s="2" t="inlineStr">
        <is>
          <t>REC-002</t>
        </is>
      </c>
      <c r="C249" s="2">
        <f>IFERROR(INDEX(Issues!$L$2:$L$245,MATCH(A249,Issues!$A$2:$A$245,0)),"")</f>
        <v/>
      </c>
      <c r="D249" s="2">
        <f>IFERROR(INDEX(Issues!$L$2:$L$245,MATCH(B249,Issues!$A$2:$A$245,0)),"")</f>
        <v/>
      </c>
      <c r="E249" s="2">
        <f>IF(AND(C249&lt;&gt;"Done",D249&lt;&gt;"Done"),"Yes","No")</f>
        <v/>
      </c>
    </row>
    <row r="250">
      <c r="A250" s="2" t="inlineStr">
        <is>
          <t>REC-004</t>
        </is>
      </c>
      <c r="B250" s="2" t="inlineStr">
        <is>
          <t>REC-003</t>
        </is>
      </c>
      <c r="C250" s="2">
        <f>IFERROR(INDEX(Issues!$L$2:$L$245,MATCH(A250,Issues!$A$2:$A$245,0)),"")</f>
        <v/>
      </c>
      <c r="D250" s="2">
        <f>IFERROR(INDEX(Issues!$L$2:$L$245,MATCH(B250,Issues!$A$2:$A$245,0)),"")</f>
        <v/>
      </c>
      <c r="E250" s="2">
        <f>IF(AND(C250&lt;&gt;"Done",D250&lt;&gt;"Done"),"Yes","No")</f>
        <v/>
      </c>
    </row>
    <row r="251">
      <c r="A251" s="2" t="inlineStr">
        <is>
          <t>REC-005</t>
        </is>
      </c>
      <c r="B251" s="2" t="inlineStr">
        <is>
          <t>REC-002</t>
        </is>
      </c>
      <c r="C251" s="2">
        <f>IFERROR(INDEX(Issues!$L$2:$L$245,MATCH(A251,Issues!$A$2:$A$245,0)),"")</f>
        <v/>
      </c>
      <c r="D251" s="2">
        <f>IFERROR(INDEX(Issues!$L$2:$L$245,MATCH(B251,Issues!$A$2:$A$245,0)),"")</f>
        <v/>
      </c>
      <c r="E251" s="2">
        <f>IF(AND(C251&lt;&gt;"Done",D251&lt;&gt;"Done"),"Yes","No")</f>
        <v/>
      </c>
    </row>
    <row r="252">
      <c r="A252" s="2" t="inlineStr">
        <is>
          <t>REC-005</t>
        </is>
      </c>
      <c r="B252" s="2" t="inlineStr">
        <is>
          <t>SC-019</t>
        </is>
      </c>
      <c r="C252" s="2">
        <f>IFERROR(INDEX(Issues!$L$2:$L$245,MATCH(A252,Issues!$A$2:$A$245,0)),"")</f>
        <v/>
      </c>
      <c r="D252" s="2">
        <f>IFERROR(INDEX(Issues!$L$2:$L$245,MATCH(B252,Issues!$A$2:$A$245,0)),"")</f>
        <v/>
      </c>
      <c r="E252" s="2">
        <f>IF(AND(C252&lt;&gt;"Done",D252&lt;&gt;"Done"),"Yes","No")</f>
        <v/>
      </c>
    </row>
    <row r="253">
      <c r="A253" s="2" t="inlineStr">
        <is>
          <t>REC-L01</t>
        </is>
      </c>
      <c r="B253" s="2" t="inlineStr">
        <is>
          <t>REC-004</t>
        </is>
      </c>
      <c r="C253" s="2">
        <f>IFERROR(INDEX(Issues!$L$2:$L$245,MATCH(A253,Issues!$A$2:$A$245,0)),"")</f>
        <v/>
      </c>
      <c r="D253" s="2">
        <f>IFERROR(INDEX(Issues!$L$2:$L$245,MATCH(B253,Issues!$A$2:$A$245,0)),"")</f>
        <v/>
      </c>
      <c r="E253" s="2">
        <f>IF(AND(C253&lt;&gt;"Done",D253&lt;&gt;"Done"),"Yes","No")</f>
        <v/>
      </c>
    </row>
    <row r="254">
      <c r="A254" s="2" t="inlineStr">
        <is>
          <t>REC-L02</t>
        </is>
      </c>
      <c r="B254" s="2" t="inlineStr">
        <is>
          <t>REC-L01</t>
        </is>
      </c>
      <c r="C254" s="2">
        <f>IFERROR(INDEX(Issues!$L$2:$L$245,MATCH(A254,Issues!$A$2:$A$245,0)),"")</f>
        <v/>
      </c>
      <c r="D254" s="2">
        <f>IFERROR(INDEX(Issues!$L$2:$L$245,MATCH(B254,Issues!$A$2:$A$245,0)),"")</f>
        <v/>
      </c>
      <c r="E254" s="2">
        <f>IF(AND(C254&lt;&gt;"Done",D254&lt;&gt;"Done"),"Yes","No")</f>
        <v/>
      </c>
    </row>
    <row r="255">
      <c r="A255" s="2" t="inlineStr">
        <is>
          <t>REC-L03</t>
        </is>
      </c>
      <c r="B255" s="2" t="inlineStr">
        <is>
          <t>REC-L01</t>
        </is>
      </c>
      <c r="C255" s="2">
        <f>IFERROR(INDEX(Issues!$L$2:$L$245,MATCH(A255,Issues!$A$2:$A$245,0)),"")</f>
        <v/>
      </c>
      <c r="D255" s="2">
        <f>IFERROR(INDEX(Issues!$L$2:$L$245,MATCH(B255,Issues!$A$2:$A$245,0)),"")</f>
        <v/>
      </c>
      <c r="E255" s="2">
        <f>IF(AND(C255&lt;&gt;"Done",D255&lt;&gt;"Done"),"Yes","No")</f>
        <v/>
      </c>
    </row>
    <row r="256">
      <c r="A256" s="2" t="inlineStr">
        <is>
          <t>SC-001</t>
        </is>
      </c>
      <c r="B256" s="2" t="inlineStr">
        <is>
          <t>DEV-001</t>
        </is>
      </c>
      <c r="C256" s="2">
        <f>IFERROR(INDEX(Issues!$L$2:$L$245,MATCH(A256,Issues!$A$2:$A$245,0)),"")</f>
        <v/>
      </c>
      <c r="D256" s="2">
        <f>IFERROR(INDEX(Issues!$L$2:$L$245,MATCH(B256,Issues!$A$2:$A$245,0)),"")</f>
        <v/>
      </c>
      <c r="E256" s="2">
        <f>IF(AND(C256&lt;&gt;"Done",D256&lt;&gt;"Done"),"Yes","No")</f>
        <v/>
      </c>
    </row>
    <row r="257">
      <c r="A257" s="2" t="inlineStr">
        <is>
          <t>SC-002</t>
        </is>
      </c>
      <c r="B257" s="2" t="inlineStr">
        <is>
          <t>SC-001</t>
        </is>
      </c>
      <c r="C257" s="2">
        <f>IFERROR(INDEX(Issues!$L$2:$L$245,MATCH(A257,Issues!$A$2:$A$245,0)),"")</f>
        <v/>
      </c>
      <c r="D257" s="2">
        <f>IFERROR(INDEX(Issues!$L$2:$L$245,MATCH(B257,Issues!$A$2:$A$245,0)),"")</f>
        <v/>
      </c>
      <c r="E257" s="2">
        <f>IF(AND(C257&lt;&gt;"Done",D257&lt;&gt;"Done"),"Yes","No")</f>
        <v/>
      </c>
    </row>
    <row r="258">
      <c r="A258" s="2" t="inlineStr">
        <is>
          <t>SC-003</t>
        </is>
      </c>
      <c r="B258" s="2" t="inlineStr">
        <is>
          <t>SC-021</t>
        </is>
      </c>
      <c r="C258" s="2">
        <f>IFERROR(INDEX(Issues!$L$2:$L$245,MATCH(A258,Issues!$A$2:$A$245,0)),"")</f>
        <v/>
      </c>
      <c r="D258" s="2">
        <f>IFERROR(INDEX(Issues!$L$2:$L$245,MATCH(B258,Issues!$A$2:$A$245,0)),"")</f>
        <v/>
      </c>
      <c r="E258" s="2">
        <f>IF(AND(C258&lt;&gt;"Done",D258&lt;&gt;"Done"),"Yes","No")</f>
        <v/>
      </c>
    </row>
    <row r="259">
      <c r="A259" s="2" t="inlineStr">
        <is>
          <t>SC-004</t>
        </is>
      </c>
      <c r="B259" s="2" t="inlineStr">
        <is>
          <t>SC-003</t>
        </is>
      </c>
      <c r="C259" s="2">
        <f>IFERROR(INDEX(Issues!$L$2:$L$245,MATCH(A259,Issues!$A$2:$A$245,0)),"")</f>
        <v/>
      </c>
      <c r="D259" s="2">
        <f>IFERROR(INDEX(Issues!$L$2:$L$245,MATCH(B259,Issues!$A$2:$A$245,0)),"")</f>
        <v/>
      </c>
      <c r="E259" s="2">
        <f>IF(AND(C259&lt;&gt;"Done",D259&lt;&gt;"Done"),"Yes","No")</f>
        <v/>
      </c>
    </row>
    <row r="260">
      <c r="A260" s="2" t="inlineStr">
        <is>
          <t>SC-005</t>
        </is>
      </c>
      <c r="B260" s="2" t="inlineStr">
        <is>
          <t>SC-002</t>
        </is>
      </c>
      <c r="C260" s="2">
        <f>IFERROR(INDEX(Issues!$L$2:$L$245,MATCH(A260,Issues!$A$2:$A$245,0)),"")</f>
        <v/>
      </c>
      <c r="D260" s="2">
        <f>IFERROR(INDEX(Issues!$L$2:$L$245,MATCH(B260,Issues!$A$2:$A$245,0)),"")</f>
        <v/>
      </c>
      <c r="E260" s="2">
        <f>IF(AND(C260&lt;&gt;"Done",D260&lt;&gt;"Done"),"Yes","No")</f>
        <v/>
      </c>
    </row>
    <row r="261">
      <c r="A261" s="2" t="inlineStr">
        <is>
          <t>SC-006</t>
        </is>
      </c>
      <c r="B261" s="2" t="inlineStr">
        <is>
          <t>SC-004</t>
        </is>
      </c>
      <c r="C261" s="2">
        <f>IFERROR(INDEX(Issues!$L$2:$L$245,MATCH(A261,Issues!$A$2:$A$245,0)),"")</f>
        <v/>
      </c>
      <c r="D261" s="2">
        <f>IFERROR(INDEX(Issues!$L$2:$L$245,MATCH(B261,Issues!$A$2:$A$245,0)),"")</f>
        <v/>
      </c>
      <c r="E261" s="2">
        <f>IF(AND(C261&lt;&gt;"Done",D261&lt;&gt;"Done"),"Yes","No")</f>
        <v/>
      </c>
    </row>
    <row r="262">
      <c r="A262" s="2" t="inlineStr">
        <is>
          <t>SC-006</t>
        </is>
      </c>
      <c r="B262" s="2" t="inlineStr">
        <is>
          <t>SC-005</t>
        </is>
      </c>
      <c r="C262" s="2">
        <f>IFERROR(INDEX(Issues!$L$2:$L$245,MATCH(A262,Issues!$A$2:$A$245,0)),"")</f>
        <v/>
      </c>
      <c r="D262" s="2">
        <f>IFERROR(INDEX(Issues!$L$2:$L$245,MATCH(B262,Issues!$A$2:$A$245,0)),"")</f>
        <v/>
      </c>
      <c r="E262" s="2">
        <f>IF(AND(C262&lt;&gt;"Done",D262&lt;&gt;"Done"),"Yes","No")</f>
        <v/>
      </c>
    </row>
    <row r="263">
      <c r="A263" s="2" t="inlineStr">
        <is>
          <t>SC-007</t>
        </is>
      </c>
      <c r="B263" s="2" t="inlineStr">
        <is>
          <t>SC-006</t>
        </is>
      </c>
      <c r="C263" s="2">
        <f>IFERROR(INDEX(Issues!$L$2:$L$245,MATCH(A263,Issues!$A$2:$A$245,0)),"")</f>
        <v/>
      </c>
      <c r="D263" s="2">
        <f>IFERROR(INDEX(Issues!$L$2:$L$245,MATCH(B263,Issues!$A$2:$A$245,0)),"")</f>
        <v/>
      </c>
      <c r="E263" s="2">
        <f>IF(AND(C263&lt;&gt;"Done",D263&lt;&gt;"Done"),"Yes","No")</f>
        <v/>
      </c>
    </row>
    <row r="264">
      <c r="A264" s="2" t="inlineStr">
        <is>
          <t>SC-008</t>
        </is>
      </c>
      <c r="B264" s="2" t="inlineStr">
        <is>
          <t>SC-006</t>
        </is>
      </c>
      <c r="C264" s="2">
        <f>IFERROR(INDEX(Issues!$L$2:$L$245,MATCH(A264,Issues!$A$2:$A$245,0)),"")</f>
        <v/>
      </c>
      <c r="D264" s="2">
        <f>IFERROR(INDEX(Issues!$L$2:$L$245,MATCH(B264,Issues!$A$2:$A$245,0)),"")</f>
        <v/>
      </c>
      <c r="E264" s="2">
        <f>IF(AND(C264&lt;&gt;"Done",D264&lt;&gt;"Done"),"Yes","No")</f>
        <v/>
      </c>
    </row>
    <row r="265">
      <c r="A265" s="2" t="inlineStr">
        <is>
          <t>SC-009</t>
        </is>
      </c>
      <c r="B265" s="2" t="inlineStr">
        <is>
          <t>SC-005</t>
        </is>
      </c>
      <c r="C265" s="2">
        <f>IFERROR(INDEX(Issues!$L$2:$L$245,MATCH(A265,Issues!$A$2:$A$245,0)),"")</f>
        <v/>
      </c>
      <c r="D265" s="2">
        <f>IFERROR(INDEX(Issues!$L$2:$L$245,MATCH(B265,Issues!$A$2:$A$245,0)),"")</f>
        <v/>
      </c>
      <c r="E265" s="2">
        <f>IF(AND(C265&lt;&gt;"Done",D265&lt;&gt;"Done"),"Yes","No")</f>
        <v/>
      </c>
    </row>
    <row r="266">
      <c r="A266" s="2" t="inlineStr">
        <is>
          <t>SC-009</t>
        </is>
      </c>
      <c r="B266" s="2" t="inlineStr">
        <is>
          <t>SC-007</t>
        </is>
      </c>
      <c r="C266" s="2">
        <f>IFERROR(INDEX(Issues!$L$2:$L$245,MATCH(A266,Issues!$A$2:$A$245,0)),"")</f>
        <v/>
      </c>
      <c r="D266" s="2">
        <f>IFERROR(INDEX(Issues!$L$2:$L$245,MATCH(B266,Issues!$A$2:$A$245,0)),"")</f>
        <v/>
      </c>
      <c r="E266" s="2">
        <f>IF(AND(C266&lt;&gt;"Done",D266&lt;&gt;"Done"),"Yes","No")</f>
        <v/>
      </c>
    </row>
    <row r="267">
      <c r="A267" s="2" t="inlineStr">
        <is>
          <t>SC-009</t>
        </is>
      </c>
      <c r="B267" s="2" t="inlineStr">
        <is>
          <t>SC-008</t>
        </is>
      </c>
      <c r="C267" s="2">
        <f>IFERROR(INDEX(Issues!$L$2:$L$245,MATCH(A267,Issues!$A$2:$A$245,0)),"")</f>
        <v/>
      </c>
      <c r="D267" s="2">
        <f>IFERROR(INDEX(Issues!$L$2:$L$245,MATCH(B267,Issues!$A$2:$A$245,0)),"")</f>
        <v/>
      </c>
      <c r="E267" s="2">
        <f>IF(AND(C267&lt;&gt;"Done",D267&lt;&gt;"Done"),"Yes","No")</f>
        <v/>
      </c>
    </row>
    <row r="268">
      <c r="A268" s="2" t="inlineStr">
        <is>
          <t>SC-010</t>
        </is>
      </c>
      <c r="B268" s="2" t="inlineStr">
        <is>
          <t>SC-003</t>
        </is>
      </c>
      <c r="C268" s="2">
        <f>IFERROR(INDEX(Issues!$L$2:$L$245,MATCH(A268,Issues!$A$2:$A$245,0)),"")</f>
        <v/>
      </c>
      <c r="D268" s="2">
        <f>IFERROR(INDEX(Issues!$L$2:$L$245,MATCH(B268,Issues!$A$2:$A$245,0)),"")</f>
        <v/>
      </c>
      <c r="E268" s="2">
        <f>IF(AND(C268&lt;&gt;"Done",D268&lt;&gt;"Done"),"Yes","No")</f>
        <v/>
      </c>
    </row>
    <row r="269">
      <c r="A269" s="2" t="inlineStr">
        <is>
          <t>SC-011</t>
        </is>
      </c>
      <c r="B269" s="2" t="inlineStr">
        <is>
          <t>SC-007</t>
        </is>
      </c>
      <c r="C269" s="2">
        <f>IFERROR(INDEX(Issues!$L$2:$L$245,MATCH(A269,Issues!$A$2:$A$245,0)),"")</f>
        <v/>
      </c>
      <c r="D269" s="2">
        <f>IFERROR(INDEX(Issues!$L$2:$L$245,MATCH(B269,Issues!$A$2:$A$245,0)),"")</f>
        <v/>
      </c>
      <c r="E269" s="2">
        <f>IF(AND(C269&lt;&gt;"Done",D269&lt;&gt;"Done"),"Yes","No")</f>
        <v/>
      </c>
    </row>
    <row r="270">
      <c r="A270" s="2" t="inlineStr">
        <is>
          <t>SC-012</t>
        </is>
      </c>
      <c r="B270" s="2" t="inlineStr">
        <is>
          <t>SC-006</t>
        </is>
      </c>
      <c r="C270" s="2">
        <f>IFERROR(INDEX(Issues!$L$2:$L$245,MATCH(A270,Issues!$A$2:$A$245,0)),"")</f>
        <v/>
      </c>
      <c r="D270" s="2">
        <f>IFERROR(INDEX(Issues!$L$2:$L$245,MATCH(B270,Issues!$A$2:$A$245,0)),"")</f>
        <v/>
      </c>
      <c r="E270" s="2">
        <f>IF(AND(C270&lt;&gt;"Done",D270&lt;&gt;"Done"),"Yes","No")</f>
        <v/>
      </c>
    </row>
    <row r="271">
      <c r="A271" s="2" t="inlineStr">
        <is>
          <t>SC-013</t>
        </is>
      </c>
      <c r="B271" s="2" t="inlineStr">
        <is>
          <t>SC-009</t>
        </is>
      </c>
      <c r="C271" s="2">
        <f>IFERROR(INDEX(Issues!$L$2:$L$245,MATCH(A271,Issues!$A$2:$A$245,0)),"")</f>
        <v/>
      </c>
      <c r="D271" s="2">
        <f>IFERROR(INDEX(Issues!$L$2:$L$245,MATCH(B271,Issues!$A$2:$A$245,0)),"")</f>
        <v/>
      </c>
      <c r="E271" s="2">
        <f>IF(AND(C271&lt;&gt;"Done",D271&lt;&gt;"Done"),"Yes","No")</f>
        <v/>
      </c>
    </row>
    <row r="272">
      <c r="A272" s="2" t="inlineStr">
        <is>
          <t>SC-013</t>
        </is>
      </c>
      <c r="B272" s="2" t="inlineStr">
        <is>
          <t>SC-010</t>
        </is>
      </c>
      <c r="C272" s="2">
        <f>IFERROR(INDEX(Issues!$L$2:$L$245,MATCH(A272,Issues!$A$2:$A$245,0)),"")</f>
        <v/>
      </c>
      <c r="D272" s="2">
        <f>IFERROR(INDEX(Issues!$L$2:$L$245,MATCH(B272,Issues!$A$2:$A$245,0)),"")</f>
        <v/>
      </c>
      <c r="E272" s="2">
        <f>IF(AND(C272&lt;&gt;"Done",D272&lt;&gt;"Done"),"Yes","No")</f>
        <v/>
      </c>
    </row>
    <row r="273">
      <c r="A273" s="2" t="inlineStr">
        <is>
          <t>SC-013</t>
        </is>
      </c>
      <c r="B273" s="2" t="inlineStr">
        <is>
          <t>SC-012</t>
        </is>
      </c>
      <c r="C273" s="2">
        <f>IFERROR(INDEX(Issues!$L$2:$L$245,MATCH(A273,Issues!$A$2:$A$245,0)),"")</f>
        <v/>
      </c>
      <c r="D273" s="2">
        <f>IFERROR(INDEX(Issues!$L$2:$L$245,MATCH(B273,Issues!$A$2:$A$245,0)),"")</f>
        <v/>
      </c>
      <c r="E273" s="2">
        <f>IF(AND(C273&lt;&gt;"Done",D273&lt;&gt;"Done"),"Yes","No")</f>
        <v/>
      </c>
    </row>
    <row r="274">
      <c r="A274" s="2" t="inlineStr">
        <is>
          <t>SC-014</t>
        </is>
      </c>
      <c r="B274" s="2" t="inlineStr">
        <is>
          <t>SC-013</t>
        </is>
      </c>
      <c r="C274" s="2">
        <f>IFERROR(INDEX(Issues!$L$2:$L$245,MATCH(A274,Issues!$A$2:$A$245,0)),"")</f>
        <v/>
      </c>
      <c r="D274" s="2">
        <f>IFERROR(INDEX(Issues!$L$2:$L$245,MATCH(B274,Issues!$A$2:$A$245,0)),"")</f>
        <v/>
      </c>
      <c r="E274" s="2">
        <f>IF(AND(C274&lt;&gt;"Done",D274&lt;&gt;"Done"),"Yes","No")</f>
        <v/>
      </c>
    </row>
    <row r="275">
      <c r="A275" s="2" t="inlineStr">
        <is>
          <t>SC-014</t>
        </is>
      </c>
      <c r="B275" s="2" t="inlineStr">
        <is>
          <t>SC-022</t>
        </is>
      </c>
      <c r="C275" s="2">
        <f>IFERROR(INDEX(Issues!$L$2:$L$245,MATCH(A275,Issues!$A$2:$A$245,0)),"")</f>
        <v/>
      </c>
      <c r="D275" s="2">
        <f>IFERROR(INDEX(Issues!$L$2:$L$245,MATCH(B275,Issues!$A$2:$A$245,0)),"")</f>
        <v/>
      </c>
      <c r="E275" s="2">
        <f>IF(AND(C275&lt;&gt;"Done",D275&lt;&gt;"Done"),"Yes","No")</f>
        <v/>
      </c>
    </row>
    <row r="276">
      <c r="A276" s="2" t="inlineStr">
        <is>
          <t>SC-015</t>
        </is>
      </c>
      <c r="B276" s="2" t="inlineStr">
        <is>
          <t>SC-013</t>
        </is>
      </c>
      <c r="C276" s="2">
        <f>IFERROR(INDEX(Issues!$L$2:$L$245,MATCH(A276,Issues!$A$2:$A$245,0)),"")</f>
        <v/>
      </c>
      <c r="D276" s="2">
        <f>IFERROR(INDEX(Issues!$L$2:$L$245,MATCH(B276,Issues!$A$2:$A$245,0)),"")</f>
        <v/>
      </c>
      <c r="E276" s="2">
        <f>IF(AND(C276&lt;&gt;"Done",D276&lt;&gt;"Done"),"Yes","No")</f>
        <v/>
      </c>
    </row>
    <row r="277">
      <c r="A277" s="2" t="inlineStr">
        <is>
          <t>SC-016</t>
        </is>
      </c>
      <c r="B277" s="2" t="inlineStr">
        <is>
          <t>SC-010</t>
        </is>
      </c>
      <c r="C277" s="2">
        <f>IFERROR(INDEX(Issues!$L$2:$L$245,MATCH(A277,Issues!$A$2:$A$245,0)),"")</f>
        <v/>
      </c>
      <c r="D277" s="2">
        <f>IFERROR(INDEX(Issues!$L$2:$L$245,MATCH(B277,Issues!$A$2:$A$245,0)),"")</f>
        <v/>
      </c>
      <c r="E277" s="2">
        <f>IF(AND(C277&lt;&gt;"Done",D277&lt;&gt;"Done"),"Yes","No")</f>
        <v/>
      </c>
    </row>
    <row r="278">
      <c r="A278" s="2" t="inlineStr">
        <is>
          <t>SC-016</t>
        </is>
      </c>
      <c r="B278" s="2" t="inlineStr">
        <is>
          <t>SC-021</t>
        </is>
      </c>
      <c r="C278" s="2">
        <f>IFERROR(INDEX(Issues!$L$2:$L$245,MATCH(A278,Issues!$A$2:$A$245,0)),"")</f>
        <v/>
      </c>
      <c r="D278" s="2">
        <f>IFERROR(INDEX(Issues!$L$2:$L$245,MATCH(B278,Issues!$A$2:$A$245,0)),"")</f>
        <v/>
      </c>
      <c r="E278" s="2">
        <f>IF(AND(C278&lt;&gt;"Done",D278&lt;&gt;"Done"),"Yes","No")</f>
        <v/>
      </c>
    </row>
    <row r="279">
      <c r="A279" s="2" t="inlineStr">
        <is>
          <t>SC-016</t>
        </is>
      </c>
      <c r="B279" s="2" t="inlineStr">
        <is>
          <t>DOM-001</t>
        </is>
      </c>
      <c r="C279" s="2">
        <f>IFERROR(INDEX(Issues!$L$2:$L$245,MATCH(A279,Issues!$A$2:$A$245,0)),"")</f>
        <v/>
      </c>
      <c r="D279" s="2">
        <f>IFERROR(INDEX(Issues!$L$2:$L$245,MATCH(B279,Issues!$A$2:$A$245,0)),"")</f>
        <v/>
      </c>
      <c r="E279" s="2">
        <f>IF(AND(C279&lt;&gt;"Done",D279&lt;&gt;"Done"),"Yes","No")</f>
        <v/>
      </c>
    </row>
    <row r="280">
      <c r="A280" s="2" t="inlineStr">
        <is>
          <t>SC-017</t>
        </is>
      </c>
      <c r="B280" s="2" t="inlineStr">
        <is>
          <t>SC-005</t>
        </is>
      </c>
      <c r="C280" s="2">
        <f>IFERROR(INDEX(Issues!$L$2:$L$245,MATCH(A280,Issues!$A$2:$A$245,0)),"")</f>
        <v/>
      </c>
      <c r="D280" s="2">
        <f>IFERROR(INDEX(Issues!$L$2:$L$245,MATCH(B280,Issues!$A$2:$A$245,0)),"")</f>
        <v/>
      </c>
      <c r="E280" s="2">
        <f>IF(AND(C280&lt;&gt;"Done",D280&lt;&gt;"Done"),"Yes","No")</f>
        <v/>
      </c>
    </row>
    <row r="281">
      <c r="A281" s="2" t="inlineStr">
        <is>
          <t>SC-018</t>
        </is>
      </c>
      <c r="B281" s="2" t="inlineStr">
        <is>
          <t>SC-009</t>
        </is>
      </c>
      <c r="C281" s="2">
        <f>IFERROR(INDEX(Issues!$L$2:$L$245,MATCH(A281,Issues!$A$2:$A$245,0)),"")</f>
        <v/>
      </c>
      <c r="D281" s="2">
        <f>IFERROR(INDEX(Issues!$L$2:$L$245,MATCH(B281,Issues!$A$2:$A$245,0)),"")</f>
        <v/>
      </c>
      <c r="E281" s="2">
        <f>IF(AND(C281&lt;&gt;"Done",D281&lt;&gt;"Done"),"Yes","No")</f>
        <v/>
      </c>
    </row>
    <row r="282">
      <c r="A282" s="2" t="inlineStr">
        <is>
          <t>SC-019</t>
        </is>
      </c>
      <c r="B282" s="2" t="inlineStr">
        <is>
          <t>DOM-001</t>
        </is>
      </c>
      <c r="C282" s="2">
        <f>IFERROR(INDEX(Issues!$L$2:$L$245,MATCH(A282,Issues!$A$2:$A$245,0)),"")</f>
        <v/>
      </c>
      <c r="D282" s="2">
        <f>IFERROR(INDEX(Issues!$L$2:$L$245,MATCH(B282,Issues!$A$2:$A$245,0)),"")</f>
        <v/>
      </c>
      <c r="E282" s="2">
        <f>IF(AND(C282&lt;&gt;"Done",D282&lt;&gt;"Done"),"Yes","No")</f>
        <v/>
      </c>
    </row>
    <row r="283">
      <c r="A283" s="2" t="inlineStr">
        <is>
          <t>SC-020</t>
        </is>
      </c>
      <c r="B283" s="2" t="inlineStr">
        <is>
          <t>SC-013</t>
        </is>
      </c>
      <c r="C283" s="2">
        <f>IFERROR(INDEX(Issues!$L$2:$L$245,MATCH(A283,Issues!$A$2:$A$245,0)),"")</f>
        <v/>
      </c>
      <c r="D283" s="2">
        <f>IFERROR(INDEX(Issues!$L$2:$L$245,MATCH(B283,Issues!$A$2:$A$245,0)),"")</f>
        <v/>
      </c>
      <c r="E283" s="2">
        <f>IF(AND(C283&lt;&gt;"Done",D283&lt;&gt;"Done"),"Yes","No")</f>
        <v/>
      </c>
    </row>
    <row r="284">
      <c r="A284" s="2" t="inlineStr">
        <is>
          <t>SC-021</t>
        </is>
      </c>
      <c r="B284" s="2" t="inlineStr">
        <is>
          <t>SC-002</t>
        </is>
      </c>
      <c r="C284" s="2">
        <f>IFERROR(INDEX(Issues!$L$2:$L$245,MATCH(A284,Issues!$A$2:$A$245,0)),"")</f>
        <v/>
      </c>
      <c r="D284" s="2">
        <f>IFERROR(INDEX(Issues!$L$2:$L$245,MATCH(B284,Issues!$A$2:$A$245,0)),"")</f>
        <v/>
      </c>
      <c r="E284" s="2">
        <f>IF(AND(C284&lt;&gt;"Done",D284&lt;&gt;"Done"),"Yes","No")</f>
        <v/>
      </c>
    </row>
    <row r="285">
      <c r="A285" s="2" t="inlineStr">
        <is>
          <t>SC-022</t>
        </is>
      </c>
      <c r="B285" s="2" t="inlineStr">
        <is>
          <t>SC-006</t>
        </is>
      </c>
      <c r="C285" s="2">
        <f>IFERROR(INDEX(Issues!$L$2:$L$245,MATCH(A285,Issues!$A$2:$A$245,0)),"")</f>
        <v/>
      </c>
      <c r="D285" s="2">
        <f>IFERROR(INDEX(Issues!$L$2:$L$245,MATCH(B285,Issues!$A$2:$A$245,0)),"")</f>
        <v/>
      </c>
      <c r="E285" s="2">
        <f>IF(AND(C285&lt;&gt;"Done",D285&lt;&gt;"Done"),"Yes","No")</f>
        <v/>
      </c>
    </row>
    <row r="286">
      <c r="A286" s="2" t="inlineStr">
        <is>
          <t>SC-022</t>
        </is>
      </c>
      <c r="B286" s="2" t="inlineStr">
        <is>
          <t>SC-009</t>
        </is>
      </c>
      <c r="C286" s="2">
        <f>IFERROR(INDEX(Issues!$L$2:$L$245,MATCH(A286,Issues!$A$2:$A$245,0)),"")</f>
        <v/>
      </c>
      <c r="D286" s="2">
        <f>IFERROR(INDEX(Issues!$L$2:$L$245,MATCH(B286,Issues!$A$2:$A$245,0)),"")</f>
        <v/>
      </c>
      <c r="E286" s="2">
        <f>IF(AND(C286&lt;&gt;"Done",D286&lt;&gt;"Done"),"Yes","No")</f>
        <v/>
      </c>
    </row>
    <row r="287">
      <c r="A287" s="2" t="inlineStr">
        <is>
          <t>SC-023</t>
        </is>
      </c>
      <c r="B287" s="2" t="inlineStr">
        <is>
          <t>SC-006</t>
        </is>
      </c>
      <c r="C287" s="2">
        <f>IFERROR(INDEX(Issues!$L$2:$L$245,MATCH(A287,Issues!$A$2:$A$245,0)),"")</f>
        <v/>
      </c>
      <c r="D287" s="2">
        <f>IFERROR(INDEX(Issues!$L$2:$L$245,MATCH(B287,Issues!$A$2:$A$245,0)),"")</f>
        <v/>
      </c>
      <c r="E287" s="2">
        <f>IF(AND(C287&lt;&gt;"Done",D287&lt;&gt;"Done"),"Yes","No")</f>
        <v/>
      </c>
    </row>
    <row r="288">
      <c r="A288" s="2" t="inlineStr">
        <is>
          <t>SC-023</t>
        </is>
      </c>
      <c r="B288" s="2" t="inlineStr">
        <is>
          <t>SC-005</t>
        </is>
      </c>
      <c r="C288" s="2">
        <f>IFERROR(INDEX(Issues!$L$2:$L$245,MATCH(A288,Issues!$A$2:$A$245,0)),"")</f>
        <v/>
      </c>
      <c r="D288" s="2">
        <f>IFERROR(INDEX(Issues!$L$2:$L$245,MATCH(B288,Issues!$A$2:$A$245,0)),"")</f>
        <v/>
      </c>
      <c r="E288" s="2">
        <f>IF(AND(C288&lt;&gt;"Done",D288&lt;&gt;"Done"),"Yes","No")</f>
        <v/>
      </c>
    </row>
    <row r="289">
      <c r="A289" s="2" t="inlineStr">
        <is>
          <t>SC-024</t>
        </is>
      </c>
      <c r="B289" s="2" t="inlineStr">
        <is>
          <t>SC-021</t>
        </is>
      </c>
      <c r="C289" s="2">
        <f>IFERROR(INDEX(Issues!$L$2:$L$245,MATCH(A289,Issues!$A$2:$A$245,0)),"")</f>
        <v/>
      </c>
      <c r="D289" s="2">
        <f>IFERROR(INDEX(Issues!$L$2:$L$245,MATCH(B289,Issues!$A$2:$A$245,0)),"")</f>
        <v/>
      </c>
      <c r="E289" s="2">
        <f>IF(AND(C289&lt;&gt;"Done",D289&lt;&gt;"Done"),"Yes","No")</f>
        <v/>
      </c>
    </row>
    <row r="290">
      <c r="A290" s="2" t="inlineStr">
        <is>
          <t>SC-024</t>
        </is>
      </c>
      <c r="B290" s="2" t="inlineStr">
        <is>
          <t>SC-007</t>
        </is>
      </c>
      <c r="C290" s="2">
        <f>IFERROR(INDEX(Issues!$L$2:$L$245,MATCH(A290,Issues!$A$2:$A$245,0)),"")</f>
        <v/>
      </c>
      <c r="D290" s="2">
        <f>IFERROR(INDEX(Issues!$L$2:$L$245,MATCH(B290,Issues!$A$2:$A$245,0)),"")</f>
        <v/>
      </c>
      <c r="E290" s="2">
        <f>IF(AND(C290&lt;&gt;"Done",D290&lt;&gt;"Done"),"Yes","No")</f>
        <v/>
      </c>
    </row>
    <row r="291">
      <c r="A291" s="2" t="inlineStr">
        <is>
          <t>SC-024</t>
        </is>
      </c>
      <c r="B291" s="2" t="inlineStr">
        <is>
          <t>SC-008</t>
        </is>
      </c>
      <c r="C291" s="2">
        <f>IFERROR(INDEX(Issues!$L$2:$L$245,MATCH(A291,Issues!$A$2:$A$245,0)),"")</f>
        <v/>
      </c>
      <c r="D291" s="2">
        <f>IFERROR(INDEX(Issues!$L$2:$L$245,MATCH(B291,Issues!$A$2:$A$245,0)),"")</f>
        <v/>
      </c>
      <c r="E291" s="2">
        <f>IF(AND(C291&lt;&gt;"Done",D291&lt;&gt;"Done"),"Yes","No")</f>
        <v/>
      </c>
    </row>
    <row r="292">
      <c r="A292" s="2" t="inlineStr">
        <is>
          <t>SC-025</t>
        </is>
      </c>
      <c r="B292" s="2" t="inlineStr">
        <is>
          <t>SC-024</t>
        </is>
      </c>
      <c r="C292" s="2">
        <f>IFERROR(INDEX(Issues!$L$2:$L$245,MATCH(A292,Issues!$A$2:$A$245,0)),"")</f>
        <v/>
      </c>
      <c r="D292" s="2">
        <f>IFERROR(INDEX(Issues!$L$2:$L$245,MATCH(B292,Issues!$A$2:$A$245,0)),"")</f>
        <v/>
      </c>
      <c r="E292" s="2">
        <f>IF(AND(C292&lt;&gt;"Done",D292&lt;&gt;"Done"),"Yes","No")</f>
        <v/>
      </c>
    </row>
    <row r="293">
      <c r="A293" s="2" t="inlineStr">
        <is>
          <t>SC-025</t>
        </is>
      </c>
      <c r="B293" s="2" t="inlineStr">
        <is>
          <t>SC-016</t>
        </is>
      </c>
      <c r="C293" s="2">
        <f>IFERROR(INDEX(Issues!$L$2:$L$245,MATCH(A293,Issues!$A$2:$A$245,0)),"")</f>
        <v/>
      </c>
      <c r="D293" s="2">
        <f>IFERROR(INDEX(Issues!$L$2:$L$245,MATCH(B293,Issues!$A$2:$A$245,0)),"")</f>
        <v/>
      </c>
      <c r="E293" s="2">
        <f>IF(AND(C293&lt;&gt;"Done",D293&lt;&gt;"Done"),"Yes","No")</f>
        <v/>
      </c>
    </row>
    <row r="294">
      <c r="A294" s="2" t="inlineStr">
        <is>
          <t>SC-026</t>
        </is>
      </c>
      <c r="B294" s="2" t="inlineStr">
        <is>
          <t>SC-024</t>
        </is>
      </c>
      <c r="C294" s="2">
        <f>IFERROR(INDEX(Issues!$L$2:$L$245,MATCH(A294,Issues!$A$2:$A$245,0)),"")</f>
        <v/>
      </c>
      <c r="D294" s="2">
        <f>IFERROR(INDEX(Issues!$L$2:$L$245,MATCH(B294,Issues!$A$2:$A$245,0)),"")</f>
        <v/>
      </c>
      <c r="E294" s="2">
        <f>IF(AND(C294&lt;&gt;"Done",D294&lt;&gt;"Done"),"Yes","No")</f>
        <v/>
      </c>
    </row>
    <row r="295">
      <c r="A295" s="2" t="inlineStr">
        <is>
          <t>SC-L01</t>
        </is>
      </c>
      <c r="B295" s="2" t="inlineStr">
        <is>
          <t>SC-014</t>
        </is>
      </c>
      <c r="C295" s="2">
        <f>IFERROR(INDEX(Issues!$L$2:$L$245,MATCH(A295,Issues!$A$2:$A$245,0)),"")</f>
        <v/>
      </c>
      <c r="D295" s="2">
        <f>IFERROR(INDEX(Issues!$L$2:$L$245,MATCH(B295,Issues!$A$2:$A$245,0)),"")</f>
        <v/>
      </c>
      <c r="E295" s="2">
        <f>IF(AND(C295&lt;&gt;"Done",D295&lt;&gt;"Done"),"Yes","No")</f>
        <v/>
      </c>
    </row>
    <row r="296">
      <c r="A296" s="2" t="inlineStr">
        <is>
          <t>SC-L02</t>
        </is>
      </c>
      <c r="B296" s="2" t="inlineStr">
        <is>
          <t>SC-005</t>
        </is>
      </c>
      <c r="C296" s="2">
        <f>IFERROR(INDEX(Issues!$L$2:$L$245,MATCH(A296,Issues!$A$2:$A$245,0)),"")</f>
        <v/>
      </c>
      <c r="D296" s="2">
        <f>IFERROR(INDEX(Issues!$L$2:$L$245,MATCH(B296,Issues!$A$2:$A$245,0)),"")</f>
        <v/>
      </c>
      <c r="E296" s="2">
        <f>IF(AND(C296&lt;&gt;"Done",D296&lt;&gt;"Done"),"Yes","No")</f>
        <v/>
      </c>
    </row>
    <row r="297">
      <c r="A297" s="2" t="inlineStr">
        <is>
          <t>SC-L03</t>
        </is>
      </c>
      <c r="B297" s="2" t="inlineStr">
        <is>
          <t>SC-018</t>
        </is>
      </c>
      <c r="C297" s="2">
        <f>IFERROR(INDEX(Issues!$L$2:$L$245,MATCH(A297,Issues!$A$2:$A$245,0)),"")</f>
        <v/>
      </c>
      <c r="D297" s="2">
        <f>IFERROR(INDEX(Issues!$L$2:$L$245,MATCH(B297,Issues!$A$2:$A$245,0)),"")</f>
        <v/>
      </c>
      <c r="E297" s="2">
        <f>IF(AND(C297&lt;&gt;"Done",D297&lt;&gt;"Done"),"Yes","No")</f>
        <v/>
      </c>
    </row>
    <row r="298">
      <c r="A298" s="2" t="inlineStr">
        <is>
          <t>SC-L04</t>
        </is>
      </c>
      <c r="B298" s="2" t="inlineStr">
        <is>
          <t>SC-017</t>
        </is>
      </c>
      <c r="C298" s="2">
        <f>IFERROR(INDEX(Issues!$L$2:$L$245,MATCH(A298,Issues!$A$2:$A$245,0)),"")</f>
        <v/>
      </c>
      <c r="D298" s="2">
        <f>IFERROR(INDEX(Issues!$L$2:$L$245,MATCH(B298,Issues!$A$2:$A$245,0)),"")</f>
        <v/>
      </c>
      <c r="E298" s="2">
        <f>IF(AND(C298&lt;&gt;"Done",D298&lt;&gt;"Done"),"Yes","No")</f>
        <v/>
      </c>
    </row>
    <row r="299">
      <c r="A299" s="2" t="inlineStr">
        <is>
          <t>SC-L05</t>
        </is>
      </c>
      <c r="B299" s="2" t="inlineStr">
        <is>
          <t>SC-007</t>
        </is>
      </c>
      <c r="C299" s="2">
        <f>IFERROR(INDEX(Issues!$L$2:$L$245,MATCH(A299,Issues!$A$2:$A$245,0)),"")</f>
        <v/>
      </c>
      <c r="D299" s="2">
        <f>IFERROR(INDEX(Issues!$L$2:$L$245,MATCH(B299,Issues!$A$2:$A$245,0)),"")</f>
        <v/>
      </c>
      <c r="E299" s="2">
        <f>IF(AND(C299&lt;&gt;"Done",D299&lt;&gt;"Done"),"Yes","No")</f>
        <v/>
      </c>
    </row>
    <row r="300">
      <c r="A300" s="2" t="inlineStr">
        <is>
          <t>SC-L06</t>
        </is>
      </c>
      <c r="B300" s="2" t="inlineStr">
        <is>
          <t>SC-009</t>
        </is>
      </c>
      <c r="C300" s="2">
        <f>IFERROR(INDEX(Issues!$L$2:$L$245,MATCH(A300,Issues!$A$2:$A$245,0)),"")</f>
        <v/>
      </c>
      <c r="D300" s="2">
        <f>IFERROR(INDEX(Issues!$L$2:$L$245,MATCH(B300,Issues!$A$2:$A$245,0)),"")</f>
        <v/>
      </c>
      <c r="E300" s="2">
        <f>IF(AND(C300&lt;&gt;"Done",D300&lt;&gt;"Done"),"Yes","No")</f>
        <v/>
      </c>
    </row>
    <row r="301">
      <c r="A301" s="2" t="inlineStr">
        <is>
          <t>TRS-001</t>
        </is>
      </c>
      <c r="B301" s="2" t="inlineStr">
        <is>
          <t>IDN-001</t>
        </is>
      </c>
      <c r="C301" s="2">
        <f>IFERROR(INDEX(Issues!$L$2:$L$245,MATCH(A301,Issues!$A$2:$A$245,0)),"")</f>
        <v/>
      </c>
      <c r="D301" s="2">
        <f>IFERROR(INDEX(Issues!$L$2:$L$245,MATCH(B301,Issues!$A$2:$A$245,0)),"")</f>
        <v/>
      </c>
      <c r="E301" s="2">
        <f>IF(AND(C301&lt;&gt;"Done",D301&lt;&gt;"Done"),"Yes","No")</f>
        <v/>
      </c>
    </row>
    <row r="302">
      <c r="A302" s="2" t="inlineStr">
        <is>
          <t>TRS-002</t>
        </is>
      </c>
      <c r="B302" s="2" t="inlineStr">
        <is>
          <t>TRS-001</t>
        </is>
      </c>
      <c r="C302" s="2">
        <f>IFERROR(INDEX(Issues!$L$2:$L$245,MATCH(A302,Issues!$A$2:$A$245,0)),"")</f>
        <v/>
      </c>
      <c r="D302" s="2">
        <f>IFERROR(INDEX(Issues!$L$2:$L$245,MATCH(B302,Issues!$A$2:$A$245,0)),"")</f>
        <v/>
      </c>
      <c r="E302" s="2">
        <f>IF(AND(C302&lt;&gt;"Done",D302&lt;&gt;"Done"),"Yes","No")</f>
        <v/>
      </c>
    </row>
    <row r="303">
      <c r="A303" s="2" t="inlineStr">
        <is>
          <t>TRS-003</t>
        </is>
      </c>
      <c r="B303" s="2" t="inlineStr">
        <is>
          <t>TRS-002</t>
        </is>
      </c>
      <c r="C303" s="2">
        <f>IFERROR(INDEX(Issues!$L$2:$L$245,MATCH(A303,Issues!$A$2:$A$245,0)),"")</f>
        <v/>
      </c>
      <c r="D303" s="2">
        <f>IFERROR(INDEX(Issues!$L$2:$L$245,MATCH(B303,Issues!$A$2:$A$245,0)),"")</f>
        <v/>
      </c>
      <c r="E303" s="2">
        <f>IF(AND(C303&lt;&gt;"Done",D303&lt;&gt;"Done"),"Yes","No")</f>
        <v/>
      </c>
    </row>
    <row r="304">
      <c r="A304" s="2" t="inlineStr">
        <is>
          <t>TRS-003</t>
        </is>
      </c>
      <c r="B304" s="2" t="inlineStr">
        <is>
          <t>CHR-001</t>
        </is>
      </c>
      <c r="C304" s="2">
        <f>IFERROR(INDEX(Issues!$L$2:$L$245,MATCH(A304,Issues!$A$2:$A$245,0)),"")</f>
        <v/>
      </c>
      <c r="D304" s="2">
        <f>IFERROR(INDEX(Issues!$L$2:$L$245,MATCH(B304,Issues!$A$2:$A$245,0)),"")</f>
        <v/>
      </c>
      <c r="E304" s="2">
        <f>IF(AND(C304&lt;&gt;"Done",D304&lt;&gt;"Done"),"Yes","No")</f>
        <v/>
      </c>
    </row>
    <row r="305">
      <c r="A305" s="2" t="inlineStr">
        <is>
          <t>TRS-004</t>
        </is>
      </c>
      <c r="B305" s="2" t="inlineStr">
        <is>
          <t>TRS-003</t>
        </is>
      </c>
      <c r="C305" s="2">
        <f>IFERROR(INDEX(Issues!$L$2:$L$245,MATCH(A305,Issues!$A$2:$A$245,0)),"")</f>
        <v/>
      </c>
      <c r="D305" s="2">
        <f>IFERROR(INDEX(Issues!$L$2:$L$245,MATCH(B305,Issues!$A$2:$A$245,0)),"")</f>
        <v/>
      </c>
      <c r="E305" s="2">
        <f>IF(AND(C305&lt;&gt;"Done",D305&lt;&gt;"Done"),"Yes","No")</f>
        <v/>
      </c>
    </row>
    <row r="306">
      <c r="A306" s="2" t="inlineStr">
        <is>
          <t>TRS-004</t>
        </is>
      </c>
      <c r="B306" s="2" t="inlineStr">
        <is>
          <t>IDN-006</t>
        </is>
      </c>
      <c r="C306" s="2">
        <f>IFERROR(INDEX(Issues!$L$2:$L$245,MATCH(A306,Issues!$A$2:$A$245,0)),"")</f>
        <v/>
      </c>
      <c r="D306" s="2">
        <f>IFERROR(INDEX(Issues!$L$2:$L$245,MATCH(B306,Issues!$A$2:$A$245,0)),"")</f>
        <v/>
      </c>
      <c r="E306" s="2">
        <f>IF(AND(C306&lt;&gt;"Done",D306&lt;&gt;"Done"),"Yes","No")</f>
        <v/>
      </c>
    </row>
    <row r="307">
      <c r="A307" s="2" t="inlineStr">
        <is>
          <t>TRS-005</t>
        </is>
      </c>
      <c r="B307" s="2" t="inlineStr">
        <is>
          <t>TRS-004</t>
        </is>
      </c>
      <c r="C307" s="2">
        <f>IFERROR(INDEX(Issues!$L$2:$L$245,MATCH(A307,Issues!$A$2:$A$245,0)),"")</f>
        <v/>
      </c>
      <c r="D307" s="2">
        <f>IFERROR(INDEX(Issues!$L$2:$L$245,MATCH(B307,Issues!$A$2:$A$245,0)),"")</f>
        <v/>
      </c>
      <c r="E307" s="2">
        <f>IF(AND(C307&lt;&gt;"Done",D307&lt;&gt;"Done"),"Yes","No")</f>
        <v/>
      </c>
    </row>
    <row r="308">
      <c r="A308" s="2" t="inlineStr">
        <is>
          <t>TRS-006</t>
        </is>
      </c>
      <c r="B308" s="2" t="inlineStr">
        <is>
          <t>TRS-004</t>
        </is>
      </c>
      <c r="C308" s="2">
        <f>IFERROR(INDEX(Issues!$L$2:$L$245,MATCH(A308,Issues!$A$2:$A$245,0)),"")</f>
        <v/>
      </c>
      <c r="D308" s="2">
        <f>IFERROR(INDEX(Issues!$L$2:$L$245,MATCH(B308,Issues!$A$2:$A$245,0)),"")</f>
        <v/>
      </c>
      <c r="E308" s="2">
        <f>IF(AND(C308&lt;&gt;"Done",D308&lt;&gt;"Done"),"Yes","No")</f>
        <v/>
      </c>
    </row>
    <row r="309">
      <c r="A309" s="2" t="inlineStr">
        <is>
          <t>TRS-006</t>
        </is>
      </c>
      <c r="B309" s="2" t="inlineStr">
        <is>
          <t>SC-016</t>
        </is>
      </c>
      <c r="C309" s="2">
        <f>IFERROR(INDEX(Issues!$L$2:$L$245,MATCH(A309,Issues!$A$2:$A$245,0)),"")</f>
        <v/>
      </c>
      <c r="D309" s="2">
        <f>IFERROR(INDEX(Issues!$L$2:$L$245,MATCH(B309,Issues!$A$2:$A$245,0)),"")</f>
        <v/>
      </c>
      <c r="E309" s="2">
        <f>IF(AND(C309&lt;&gt;"Done",D309&lt;&gt;"Done"),"Yes","No")</f>
        <v/>
      </c>
    </row>
    <row r="310">
      <c r="A310" s="2" t="inlineStr">
        <is>
          <t>TRS-006</t>
        </is>
      </c>
      <c r="B310" s="2" t="inlineStr">
        <is>
          <t>SC-021</t>
        </is>
      </c>
      <c r="C310" s="2">
        <f>IFERROR(INDEX(Issues!$L$2:$L$245,MATCH(A310,Issues!$A$2:$A$245,0)),"")</f>
        <v/>
      </c>
      <c r="D310" s="2">
        <f>IFERROR(INDEX(Issues!$L$2:$L$245,MATCH(B310,Issues!$A$2:$A$245,0)),"")</f>
        <v/>
      </c>
      <c r="E310" s="2">
        <f>IF(AND(C310&lt;&gt;"Done",D310&lt;&gt;"Done"),"Yes","No")</f>
        <v/>
      </c>
    </row>
    <row r="311">
      <c r="A311" s="2" t="inlineStr">
        <is>
          <t>TRS-006</t>
        </is>
      </c>
      <c r="B311" s="2" t="inlineStr">
        <is>
          <t>MDT-009</t>
        </is>
      </c>
      <c r="C311" s="2">
        <f>IFERROR(INDEX(Issues!$L$2:$L$245,MATCH(A311,Issues!$A$2:$A$245,0)),"")</f>
        <v/>
      </c>
      <c r="D311" s="2">
        <f>IFERROR(INDEX(Issues!$L$2:$L$245,MATCH(B311,Issues!$A$2:$A$245,0)),"")</f>
        <v/>
      </c>
      <c r="E311" s="2">
        <f>IF(AND(C311&lt;&gt;"Done",D311&lt;&gt;"Done"),"Yes","No")</f>
        <v/>
      </c>
    </row>
    <row r="312">
      <c r="A312" s="2" t="inlineStr">
        <is>
          <t>TRS-007</t>
        </is>
      </c>
      <c r="B312" s="2" t="inlineStr">
        <is>
          <t>TRS-005</t>
        </is>
      </c>
      <c r="C312" s="2">
        <f>IFERROR(INDEX(Issues!$L$2:$L$245,MATCH(A312,Issues!$A$2:$A$245,0)),"")</f>
        <v/>
      </c>
      <c r="D312" s="2">
        <f>IFERROR(INDEX(Issues!$L$2:$L$245,MATCH(B312,Issues!$A$2:$A$245,0)),"")</f>
        <v/>
      </c>
      <c r="E312" s="2">
        <f>IF(AND(C312&lt;&gt;"Done",D312&lt;&gt;"Done"),"Yes","No")</f>
        <v/>
      </c>
    </row>
    <row r="313">
      <c r="A313" s="2" t="inlineStr">
        <is>
          <t>TRS-007</t>
        </is>
      </c>
      <c r="B313" s="2" t="inlineStr">
        <is>
          <t>TRS-006</t>
        </is>
      </c>
      <c r="C313" s="2">
        <f>IFERROR(INDEX(Issues!$L$2:$L$245,MATCH(A313,Issues!$A$2:$A$245,0)),"")</f>
        <v/>
      </c>
      <c r="D313" s="2">
        <f>IFERROR(INDEX(Issues!$L$2:$L$245,MATCH(B313,Issues!$A$2:$A$245,0)),"")</f>
        <v/>
      </c>
      <c r="E313" s="2">
        <f>IF(AND(C313&lt;&gt;"Done",D313&lt;&gt;"Done"),"Yes","No")</f>
        <v/>
      </c>
    </row>
    <row r="314">
      <c r="A314" s="2" t="inlineStr">
        <is>
          <t>TRS-008</t>
        </is>
      </c>
      <c r="B314" s="2" t="inlineStr">
        <is>
          <t>TRS-004</t>
        </is>
      </c>
      <c r="C314" s="2">
        <f>IFERROR(INDEX(Issues!$L$2:$L$245,MATCH(A314,Issues!$A$2:$A$245,0)),"")</f>
        <v/>
      </c>
      <c r="D314" s="2">
        <f>IFERROR(INDEX(Issues!$L$2:$L$245,MATCH(B314,Issues!$A$2:$A$245,0)),"")</f>
        <v/>
      </c>
      <c r="E314" s="2">
        <f>IF(AND(C314&lt;&gt;"Done",D314&lt;&gt;"Done"),"Yes","No")</f>
        <v/>
      </c>
    </row>
    <row r="315">
      <c r="A315" s="2" t="inlineStr">
        <is>
          <t>TRS-L01</t>
        </is>
      </c>
      <c r="B315" s="2" t="inlineStr">
        <is>
          <t>TRS-004</t>
        </is>
      </c>
      <c r="C315" s="2">
        <f>IFERROR(INDEX(Issues!$L$2:$L$245,MATCH(A315,Issues!$A$2:$A$245,0)),"")</f>
        <v/>
      </c>
      <c r="D315" s="2">
        <f>IFERROR(INDEX(Issues!$L$2:$L$245,MATCH(B315,Issues!$A$2:$A$245,0)),"")</f>
        <v/>
      </c>
      <c r="E315" s="2">
        <f>IF(AND(C315&lt;&gt;"Done",D315&lt;&gt;"Done"),"Yes","No")</f>
        <v/>
      </c>
    </row>
    <row r="316">
      <c r="A316" s="2" t="inlineStr">
        <is>
          <t>TRS-L02</t>
        </is>
      </c>
      <c r="B316" s="2" t="inlineStr">
        <is>
          <t>TRS-L01</t>
        </is>
      </c>
      <c r="C316" s="2">
        <f>IFERROR(INDEX(Issues!$L$2:$L$245,MATCH(A316,Issues!$A$2:$A$245,0)),"")</f>
        <v/>
      </c>
      <c r="D316" s="2">
        <f>IFERROR(INDEX(Issues!$L$2:$L$245,MATCH(B316,Issues!$A$2:$A$245,0)),"")</f>
        <v/>
      </c>
      <c r="E316" s="2">
        <f>IF(AND(C316&lt;&gt;"Done",D316&lt;&gt;"Done"),"Yes","No")</f>
        <v/>
      </c>
    </row>
    <row r="317">
      <c r="A317" s="2" t="inlineStr">
        <is>
          <t>TRS-L02</t>
        </is>
      </c>
      <c r="B317" s="2" t="inlineStr">
        <is>
          <t>SC-L05</t>
        </is>
      </c>
      <c r="C317" s="2">
        <f>IFERROR(INDEX(Issues!$L$2:$L$245,MATCH(A317,Issues!$A$2:$A$245,0)),"")</f>
        <v/>
      </c>
      <c r="D317" s="2">
        <f>IFERROR(INDEX(Issues!$L$2:$L$245,MATCH(B317,Issues!$A$2:$A$245,0)),"")</f>
        <v/>
      </c>
      <c r="E317" s="2">
        <f>IF(AND(C317&lt;&gt;"Done",D317&lt;&gt;"Done"),"Yes","No")</f>
        <v/>
      </c>
    </row>
    <row r="318">
      <c r="A318" s="2" t="inlineStr">
        <is>
          <t>WEB-001</t>
        </is>
      </c>
      <c r="B318" s="2" t="inlineStr">
        <is>
          <t>DEV-001</t>
        </is>
      </c>
      <c r="C318" s="2">
        <f>IFERROR(INDEX(Issues!$L$2:$L$245,MATCH(A318,Issues!$A$2:$A$245,0)),"")</f>
        <v/>
      </c>
      <c r="D318" s="2">
        <f>IFERROR(INDEX(Issues!$L$2:$L$245,MATCH(B318,Issues!$A$2:$A$245,0)),"")</f>
        <v/>
      </c>
      <c r="E318" s="2">
        <f>IF(AND(C318&lt;&gt;"Done",D318&lt;&gt;"Done"),"Yes","No")</f>
        <v/>
      </c>
    </row>
    <row r="319">
      <c r="A319" s="2" t="inlineStr">
        <is>
          <t>WEB-002</t>
        </is>
      </c>
      <c r="B319" s="2" t="inlineStr">
        <is>
          <t>WEB-001</t>
        </is>
      </c>
      <c r="C319" s="2">
        <f>IFERROR(INDEX(Issues!$L$2:$L$245,MATCH(A319,Issues!$A$2:$A$245,0)),"")</f>
        <v/>
      </c>
      <c r="D319" s="2">
        <f>IFERROR(INDEX(Issues!$L$2:$L$245,MATCH(B319,Issues!$A$2:$A$245,0)),"")</f>
        <v/>
      </c>
      <c r="E319" s="2">
        <f>IF(AND(C319&lt;&gt;"Done",D319&lt;&gt;"Done"),"Yes","No")</f>
        <v/>
      </c>
    </row>
    <row r="320">
      <c r="A320" s="2" t="inlineStr">
        <is>
          <t>WEB-002</t>
        </is>
      </c>
      <c r="B320" s="2" t="inlineStr">
        <is>
          <t>IDN-005</t>
        </is>
      </c>
      <c r="C320" s="2">
        <f>IFERROR(INDEX(Issues!$L$2:$L$245,MATCH(A320,Issues!$A$2:$A$245,0)),"")</f>
        <v/>
      </c>
      <c r="D320" s="2">
        <f>IFERROR(INDEX(Issues!$L$2:$L$245,MATCH(B320,Issues!$A$2:$A$245,0)),"")</f>
        <v/>
      </c>
      <c r="E320" s="2">
        <f>IF(AND(C320&lt;&gt;"Done",D320&lt;&gt;"Done"),"Yes","No")</f>
        <v/>
      </c>
    </row>
    <row r="321">
      <c r="A321" s="2" t="inlineStr">
        <is>
          <t>WEB-003</t>
        </is>
      </c>
      <c r="B321" s="2" t="inlineStr">
        <is>
          <t>WEB-002</t>
        </is>
      </c>
      <c r="C321" s="2">
        <f>IFERROR(INDEX(Issues!$L$2:$L$245,MATCH(A321,Issues!$A$2:$A$245,0)),"")</f>
        <v/>
      </c>
      <c r="D321" s="2">
        <f>IFERROR(INDEX(Issues!$L$2:$L$245,MATCH(B321,Issues!$A$2:$A$245,0)),"")</f>
        <v/>
      </c>
      <c r="E321" s="2">
        <f>IF(AND(C321&lt;&gt;"Done",D321&lt;&gt;"Done"),"Yes","No")</f>
        <v/>
      </c>
    </row>
    <row r="322">
      <c r="A322" s="2" t="inlineStr">
        <is>
          <t>WEB-003</t>
        </is>
      </c>
      <c r="B322" s="2" t="inlineStr">
        <is>
          <t>IDN-004</t>
        </is>
      </c>
      <c r="C322" s="2">
        <f>IFERROR(INDEX(Issues!$L$2:$L$245,MATCH(A322,Issues!$A$2:$A$245,0)),"")</f>
        <v/>
      </c>
      <c r="D322" s="2">
        <f>IFERROR(INDEX(Issues!$L$2:$L$245,MATCH(B322,Issues!$A$2:$A$245,0)),"")</f>
        <v/>
      </c>
      <c r="E322" s="2">
        <f>IF(AND(C322&lt;&gt;"Done",D322&lt;&gt;"Done"),"Yes","No")</f>
        <v/>
      </c>
    </row>
    <row r="323">
      <c r="A323" s="2" t="inlineStr">
        <is>
          <t>WEB-004</t>
        </is>
      </c>
      <c r="B323" s="2" t="inlineStr">
        <is>
          <t>WEB-003</t>
        </is>
      </c>
      <c r="C323" s="2">
        <f>IFERROR(INDEX(Issues!$L$2:$L$245,MATCH(A323,Issues!$A$2:$A$245,0)),"")</f>
        <v/>
      </c>
      <c r="D323" s="2">
        <f>IFERROR(INDEX(Issues!$L$2:$L$245,MATCH(B323,Issues!$A$2:$A$245,0)),"")</f>
        <v/>
      </c>
      <c r="E323" s="2">
        <f>IF(AND(C323&lt;&gt;"Done",D323&lt;&gt;"Done"),"Yes","No")</f>
        <v/>
      </c>
    </row>
    <row r="324">
      <c r="A324" s="2" t="inlineStr">
        <is>
          <t>WEB-004</t>
        </is>
      </c>
      <c r="B324" s="2" t="inlineStr">
        <is>
          <t>TRS-007</t>
        </is>
      </c>
      <c r="C324" s="2">
        <f>IFERROR(INDEX(Issues!$L$2:$L$245,MATCH(A324,Issues!$A$2:$A$245,0)),"")</f>
        <v/>
      </c>
      <c r="D324" s="2">
        <f>IFERROR(INDEX(Issues!$L$2:$L$245,MATCH(B324,Issues!$A$2:$A$245,0)),"")</f>
        <v/>
      </c>
      <c r="E324" s="2">
        <f>IF(AND(C324&lt;&gt;"Done",D324&lt;&gt;"Done"),"Yes","No")</f>
        <v/>
      </c>
    </row>
    <row r="325">
      <c r="A325" s="2" t="inlineStr">
        <is>
          <t>WEB-004</t>
        </is>
      </c>
      <c r="B325" s="2" t="inlineStr">
        <is>
          <t>WEB-025</t>
        </is>
      </c>
      <c r="C325" s="2">
        <f>IFERROR(INDEX(Issues!$L$2:$L$245,MATCH(A325,Issues!$A$2:$A$245,0)),"")</f>
        <v/>
      </c>
      <c r="D325" s="2">
        <f>IFERROR(INDEX(Issues!$L$2:$L$245,MATCH(B325,Issues!$A$2:$A$245,0)),"")</f>
        <v/>
      </c>
      <c r="E325" s="2">
        <f>IF(AND(C325&lt;&gt;"Done",D325&lt;&gt;"Done"),"Yes","No")</f>
        <v/>
      </c>
    </row>
    <row r="326">
      <c r="A326" s="2" t="inlineStr">
        <is>
          <t>WEB-005</t>
        </is>
      </c>
      <c r="B326" s="2" t="inlineStr">
        <is>
          <t>WEB-004</t>
        </is>
      </c>
      <c r="C326" s="2">
        <f>IFERROR(INDEX(Issues!$L$2:$L$245,MATCH(A326,Issues!$A$2:$A$245,0)),"")</f>
        <v/>
      </c>
      <c r="D326" s="2">
        <f>IFERROR(INDEX(Issues!$L$2:$L$245,MATCH(B326,Issues!$A$2:$A$245,0)),"")</f>
        <v/>
      </c>
      <c r="E326" s="2">
        <f>IF(AND(C326&lt;&gt;"Done",D326&lt;&gt;"Done"),"Yes","No")</f>
        <v/>
      </c>
    </row>
    <row r="327">
      <c r="A327" s="2" t="inlineStr">
        <is>
          <t>WEB-005</t>
        </is>
      </c>
      <c r="B327" s="2" t="inlineStr">
        <is>
          <t>MDT-003</t>
        </is>
      </c>
      <c r="C327" s="2">
        <f>IFERROR(INDEX(Issues!$L$2:$L$245,MATCH(A327,Issues!$A$2:$A$245,0)),"")</f>
        <v/>
      </c>
      <c r="D327" s="2">
        <f>IFERROR(INDEX(Issues!$L$2:$L$245,MATCH(B327,Issues!$A$2:$A$245,0)),"")</f>
        <v/>
      </c>
      <c r="E327" s="2">
        <f>IF(AND(C327&lt;&gt;"Done",D327&lt;&gt;"Done"),"Yes","No")</f>
        <v/>
      </c>
    </row>
    <row r="328">
      <c r="A328" s="2" t="inlineStr">
        <is>
          <t>WEB-005</t>
        </is>
      </c>
      <c r="B328" s="2" t="inlineStr">
        <is>
          <t>WEB-025</t>
        </is>
      </c>
      <c r="C328" s="2">
        <f>IFERROR(INDEX(Issues!$L$2:$L$245,MATCH(A328,Issues!$A$2:$A$245,0)),"")</f>
        <v/>
      </c>
      <c r="D328" s="2">
        <f>IFERROR(INDEX(Issues!$L$2:$L$245,MATCH(B328,Issues!$A$2:$A$245,0)),"")</f>
        <v/>
      </c>
      <c r="E328" s="2">
        <f>IF(AND(C328&lt;&gt;"Done",D328&lt;&gt;"Done"),"Yes","No")</f>
        <v/>
      </c>
    </row>
    <row r="329">
      <c r="A329" s="2" t="inlineStr">
        <is>
          <t>WEB-006</t>
        </is>
      </c>
      <c r="B329" s="2" t="inlineStr">
        <is>
          <t>WEB-004</t>
        </is>
      </c>
      <c r="C329" s="2">
        <f>IFERROR(INDEX(Issues!$L$2:$L$245,MATCH(A329,Issues!$A$2:$A$245,0)),"")</f>
        <v/>
      </c>
      <c r="D329" s="2">
        <f>IFERROR(INDEX(Issues!$L$2:$L$245,MATCH(B329,Issues!$A$2:$A$245,0)),"")</f>
        <v/>
      </c>
      <c r="E329" s="2">
        <f>IF(AND(C329&lt;&gt;"Done",D329&lt;&gt;"Done"),"Yes","No")</f>
        <v/>
      </c>
    </row>
    <row r="330">
      <c r="A330" s="2" t="inlineStr">
        <is>
          <t>WEB-006</t>
        </is>
      </c>
      <c r="B330" s="2" t="inlineStr">
        <is>
          <t>MDT-005</t>
        </is>
      </c>
      <c r="C330" s="2">
        <f>IFERROR(INDEX(Issues!$L$2:$L$245,MATCH(A330,Issues!$A$2:$A$245,0)),"")</f>
        <v/>
      </c>
      <c r="D330" s="2">
        <f>IFERROR(INDEX(Issues!$L$2:$L$245,MATCH(B330,Issues!$A$2:$A$245,0)),"")</f>
        <v/>
      </c>
      <c r="E330" s="2">
        <f>IF(AND(C330&lt;&gt;"Done",D330&lt;&gt;"Done"),"Yes","No")</f>
        <v/>
      </c>
    </row>
    <row r="331">
      <c r="A331" s="2" t="inlineStr">
        <is>
          <t>WEB-006</t>
        </is>
      </c>
      <c r="B331" s="2" t="inlineStr">
        <is>
          <t>WEB-025</t>
        </is>
      </c>
      <c r="C331" s="2">
        <f>IFERROR(INDEX(Issues!$L$2:$L$245,MATCH(A331,Issues!$A$2:$A$245,0)),"")</f>
        <v/>
      </c>
      <c r="D331" s="2">
        <f>IFERROR(INDEX(Issues!$L$2:$L$245,MATCH(B331,Issues!$A$2:$A$245,0)),"")</f>
        <v/>
      </c>
      <c r="E331" s="2">
        <f>IF(AND(C331&lt;&gt;"Done",D331&lt;&gt;"Done"),"Yes","No")</f>
        <v/>
      </c>
    </row>
    <row r="332">
      <c r="A332" s="2" t="inlineStr">
        <is>
          <t>WEB-007</t>
        </is>
      </c>
      <c r="B332" s="2" t="inlineStr">
        <is>
          <t>WEB-002</t>
        </is>
      </c>
      <c r="C332" s="2">
        <f>IFERROR(INDEX(Issues!$L$2:$L$245,MATCH(A332,Issues!$A$2:$A$245,0)),"")</f>
        <v/>
      </c>
      <c r="D332" s="2">
        <f>IFERROR(INDEX(Issues!$L$2:$L$245,MATCH(B332,Issues!$A$2:$A$245,0)),"")</f>
        <v/>
      </c>
      <c r="E332" s="2">
        <f>IF(AND(C332&lt;&gt;"Done",D332&lt;&gt;"Done"),"Yes","No")</f>
        <v/>
      </c>
    </row>
    <row r="333">
      <c r="A333" s="2" t="inlineStr">
        <is>
          <t>WEB-007</t>
        </is>
      </c>
      <c r="B333" s="2" t="inlineStr">
        <is>
          <t>INV-003</t>
        </is>
      </c>
      <c r="C333" s="2">
        <f>IFERROR(INDEX(Issues!$L$2:$L$245,MATCH(A333,Issues!$A$2:$A$245,0)),"")</f>
        <v/>
      </c>
      <c r="D333" s="2">
        <f>IFERROR(INDEX(Issues!$L$2:$L$245,MATCH(B333,Issues!$A$2:$A$245,0)),"")</f>
        <v/>
      </c>
      <c r="E333" s="2">
        <f>IF(AND(C333&lt;&gt;"Done",D333&lt;&gt;"Done"),"Yes","No")</f>
        <v/>
      </c>
    </row>
    <row r="334">
      <c r="A334" s="2" t="inlineStr">
        <is>
          <t>WEB-008</t>
        </is>
      </c>
      <c r="B334" s="2" t="inlineStr">
        <is>
          <t>WEB-007</t>
        </is>
      </c>
      <c r="C334" s="2">
        <f>IFERROR(INDEX(Issues!$L$2:$L$245,MATCH(A334,Issues!$A$2:$A$245,0)),"")</f>
        <v/>
      </c>
      <c r="D334" s="2">
        <f>IFERROR(INDEX(Issues!$L$2:$L$245,MATCH(B334,Issues!$A$2:$A$245,0)),"")</f>
        <v/>
      </c>
      <c r="E334" s="2">
        <f>IF(AND(C334&lt;&gt;"Done",D334&lt;&gt;"Done"),"Yes","No")</f>
        <v/>
      </c>
    </row>
    <row r="335">
      <c r="A335" s="2" t="inlineStr">
        <is>
          <t>WEB-008</t>
        </is>
      </c>
      <c r="B335" s="2" t="inlineStr">
        <is>
          <t>AGT-005</t>
        </is>
      </c>
      <c r="C335" s="2">
        <f>IFERROR(INDEX(Issues!$L$2:$L$245,MATCH(A335,Issues!$A$2:$A$245,0)),"")</f>
        <v/>
      </c>
      <c r="D335" s="2">
        <f>IFERROR(INDEX(Issues!$L$2:$L$245,MATCH(B335,Issues!$A$2:$A$245,0)),"")</f>
        <v/>
      </c>
      <c r="E335" s="2">
        <f>IF(AND(C335&lt;&gt;"Done",D335&lt;&gt;"Done"),"Yes","No")</f>
        <v/>
      </c>
    </row>
    <row r="336">
      <c r="A336" s="2" t="inlineStr">
        <is>
          <t>WEB-009</t>
        </is>
      </c>
      <c r="B336" s="2" t="inlineStr">
        <is>
          <t>WEB-008</t>
        </is>
      </c>
      <c r="C336" s="2">
        <f>IFERROR(INDEX(Issues!$L$2:$L$245,MATCH(A336,Issues!$A$2:$A$245,0)),"")</f>
        <v/>
      </c>
      <c r="D336" s="2">
        <f>IFERROR(INDEX(Issues!$L$2:$L$245,MATCH(B336,Issues!$A$2:$A$245,0)),"")</f>
        <v/>
      </c>
      <c r="E336" s="2">
        <f>IF(AND(C336&lt;&gt;"Done",D336&lt;&gt;"Done"),"Yes","No")</f>
        <v/>
      </c>
    </row>
    <row r="337">
      <c r="A337" s="2" t="inlineStr">
        <is>
          <t>WEB-009</t>
        </is>
      </c>
      <c r="B337" s="2" t="inlineStr">
        <is>
          <t>INV-010</t>
        </is>
      </c>
      <c r="C337" s="2">
        <f>IFERROR(INDEX(Issues!$L$2:$L$245,MATCH(A337,Issues!$A$2:$A$245,0)),"")</f>
        <v/>
      </c>
      <c r="D337" s="2">
        <f>IFERROR(INDEX(Issues!$L$2:$L$245,MATCH(B337,Issues!$A$2:$A$245,0)),"")</f>
        <v/>
      </c>
      <c r="E337" s="2">
        <f>IF(AND(C337&lt;&gt;"Done",D337&lt;&gt;"Done"),"Yes","No")</f>
        <v/>
      </c>
    </row>
    <row r="338">
      <c r="A338" s="2" t="inlineStr">
        <is>
          <t>WEB-010</t>
        </is>
      </c>
      <c r="B338" s="2" t="inlineStr">
        <is>
          <t>WEB-004</t>
        </is>
      </c>
      <c r="C338" s="2">
        <f>IFERROR(INDEX(Issues!$L$2:$L$245,MATCH(A338,Issues!$A$2:$A$245,0)),"")</f>
        <v/>
      </c>
      <c r="D338" s="2">
        <f>IFERROR(INDEX(Issues!$L$2:$L$245,MATCH(B338,Issues!$A$2:$A$245,0)),"")</f>
        <v/>
      </c>
      <c r="E338" s="2">
        <f>IF(AND(C338&lt;&gt;"Done",D338&lt;&gt;"Done"),"Yes","No")</f>
        <v/>
      </c>
    </row>
    <row r="339">
      <c r="A339" s="2" t="inlineStr">
        <is>
          <t>WEB-010</t>
        </is>
      </c>
      <c r="B339" s="2" t="inlineStr">
        <is>
          <t>CHR-002</t>
        </is>
      </c>
      <c r="C339" s="2">
        <f>IFERROR(INDEX(Issues!$L$2:$L$245,MATCH(A339,Issues!$A$2:$A$245,0)),"")</f>
        <v/>
      </c>
      <c r="D339" s="2">
        <f>IFERROR(INDEX(Issues!$L$2:$L$245,MATCH(B339,Issues!$A$2:$A$245,0)),"")</f>
        <v/>
      </c>
      <c r="E339" s="2">
        <f>IF(AND(C339&lt;&gt;"Done",D339&lt;&gt;"Done"),"Yes","No")</f>
        <v/>
      </c>
    </row>
    <row r="340">
      <c r="A340" s="2" t="inlineStr">
        <is>
          <t>WEB-011</t>
        </is>
      </c>
      <c r="B340" s="2" t="inlineStr">
        <is>
          <t>WEB-010</t>
        </is>
      </c>
      <c r="C340" s="2">
        <f>IFERROR(INDEX(Issues!$L$2:$L$245,MATCH(A340,Issues!$A$2:$A$245,0)),"")</f>
        <v/>
      </c>
      <c r="D340" s="2">
        <f>IFERROR(INDEX(Issues!$L$2:$L$245,MATCH(B340,Issues!$A$2:$A$245,0)),"")</f>
        <v/>
      </c>
      <c r="E340" s="2">
        <f>IF(AND(C340&lt;&gt;"Done",D340&lt;&gt;"Done"),"Yes","No")</f>
        <v/>
      </c>
    </row>
    <row r="341">
      <c r="A341" s="2" t="inlineStr">
        <is>
          <t>WEB-011</t>
        </is>
      </c>
      <c r="B341" s="2" t="inlineStr">
        <is>
          <t>EXE-004</t>
        </is>
      </c>
      <c r="C341" s="2">
        <f>IFERROR(INDEX(Issues!$L$2:$L$245,MATCH(A341,Issues!$A$2:$A$245,0)),"")</f>
        <v/>
      </c>
      <c r="D341" s="2">
        <f>IFERROR(INDEX(Issues!$L$2:$L$245,MATCH(B341,Issues!$A$2:$A$245,0)),"")</f>
        <v/>
      </c>
      <c r="E341" s="2">
        <f>IF(AND(C341&lt;&gt;"Done",D341&lt;&gt;"Done"),"Yes","No")</f>
        <v/>
      </c>
    </row>
    <row r="342">
      <c r="A342" s="2" t="inlineStr">
        <is>
          <t>WEB-012</t>
        </is>
      </c>
      <c r="B342" s="2" t="inlineStr">
        <is>
          <t>WEB-011</t>
        </is>
      </c>
      <c r="C342" s="2">
        <f>IFERROR(INDEX(Issues!$L$2:$L$245,MATCH(A342,Issues!$A$2:$A$245,0)),"")</f>
        <v/>
      </c>
      <c r="D342" s="2">
        <f>IFERROR(INDEX(Issues!$L$2:$L$245,MATCH(B342,Issues!$A$2:$A$245,0)),"")</f>
        <v/>
      </c>
      <c r="E342" s="2">
        <f>IF(AND(C342&lt;&gt;"Done",D342&lt;&gt;"Done"),"Yes","No")</f>
        <v/>
      </c>
    </row>
    <row r="343">
      <c r="A343" s="2" t="inlineStr">
        <is>
          <t>WEB-012</t>
        </is>
      </c>
      <c r="B343" s="2" t="inlineStr">
        <is>
          <t>NTF-002</t>
        </is>
      </c>
      <c r="C343" s="2">
        <f>IFERROR(INDEX(Issues!$L$2:$L$245,MATCH(A343,Issues!$A$2:$A$245,0)),"")</f>
        <v/>
      </c>
      <c r="D343" s="2">
        <f>IFERROR(INDEX(Issues!$L$2:$L$245,MATCH(B343,Issues!$A$2:$A$245,0)),"")</f>
        <v/>
      </c>
      <c r="E343" s="2">
        <f>IF(AND(C343&lt;&gt;"Done",D343&lt;&gt;"Done"),"Yes","No")</f>
        <v/>
      </c>
    </row>
    <row r="344">
      <c r="A344" s="2" t="inlineStr">
        <is>
          <t>WEB-013</t>
        </is>
      </c>
      <c r="B344" s="2" t="inlineStr">
        <is>
          <t>WEB-011</t>
        </is>
      </c>
      <c r="C344" s="2">
        <f>IFERROR(INDEX(Issues!$L$2:$L$245,MATCH(A344,Issues!$A$2:$A$245,0)),"")</f>
        <v/>
      </c>
      <c r="D344" s="2">
        <f>IFERROR(INDEX(Issues!$L$2:$L$245,MATCH(B344,Issues!$A$2:$A$245,0)),"")</f>
        <v/>
      </c>
      <c r="E344" s="2">
        <f>IF(AND(C344&lt;&gt;"Done",D344&lt;&gt;"Done"),"Yes","No")</f>
        <v/>
      </c>
    </row>
    <row r="345">
      <c r="A345" s="2" t="inlineStr">
        <is>
          <t>WEB-013</t>
        </is>
      </c>
      <c r="B345" s="2" t="inlineStr">
        <is>
          <t>RCV-004</t>
        </is>
      </c>
      <c r="C345" s="2">
        <f>IFERROR(INDEX(Issues!$L$2:$L$245,MATCH(A345,Issues!$A$2:$A$245,0)),"")</f>
        <v/>
      </c>
      <c r="D345" s="2">
        <f>IFERROR(INDEX(Issues!$L$2:$L$245,MATCH(B345,Issues!$A$2:$A$245,0)),"")</f>
        <v/>
      </c>
      <c r="E345" s="2">
        <f>IF(AND(C345&lt;&gt;"Done",D345&lt;&gt;"Done"),"Yes","No")</f>
        <v/>
      </c>
    </row>
    <row r="346">
      <c r="A346" s="2" t="inlineStr">
        <is>
          <t>WEB-013</t>
        </is>
      </c>
      <c r="B346" s="2" t="inlineStr">
        <is>
          <t>MDT-006</t>
        </is>
      </c>
      <c r="C346" s="2">
        <f>IFERROR(INDEX(Issues!$L$2:$L$245,MATCH(A346,Issues!$A$2:$A$245,0)),"")</f>
        <v/>
      </c>
      <c r="D346" s="2">
        <f>IFERROR(INDEX(Issues!$L$2:$L$245,MATCH(B346,Issues!$A$2:$A$245,0)),"")</f>
        <v/>
      </c>
      <c r="E346" s="2">
        <f>IF(AND(C346&lt;&gt;"Done",D346&lt;&gt;"Done"),"Yes","No")</f>
        <v/>
      </c>
    </row>
    <row r="347">
      <c r="A347" s="2" t="inlineStr">
        <is>
          <t>WEB-013</t>
        </is>
      </c>
      <c r="B347" s="2" t="inlineStr">
        <is>
          <t>WEB-025</t>
        </is>
      </c>
      <c r="C347" s="2">
        <f>IFERROR(INDEX(Issues!$L$2:$L$245,MATCH(A347,Issues!$A$2:$A$245,0)),"")</f>
        <v/>
      </c>
      <c r="D347" s="2">
        <f>IFERROR(INDEX(Issues!$L$2:$L$245,MATCH(B347,Issues!$A$2:$A$245,0)),"")</f>
        <v/>
      </c>
      <c r="E347" s="2">
        <f>IF(AND(C347&lt;&gt;"Done",D347&lt;&gt;"Done"),"Yes","No")</f>
        <v/>
      </c>
    </row>
    <row r="348">
      <c r="A348" s="2" t="inlineStr">
        <is>
          <t>WEB-014</t>
        </is>
      </c>
      <c r="B348" s="2" t="inlineStr">
        <is>
          <t>WEB-010</t>
        </is>
      </c>
      <c r="C348" s="2">
        <f>IFERROR(INDEX(Issues!$L$2:$L$245,MATCH(A348,Issues!$A$2:$A$245,0)),"")</f>
        <v/>
      </c>
      <c r="D348" s="2">
        <f>IFERROR(INDEX(Issues!$L$2:$L$245,MATCH(B348,Issues!$A$2:$A$245,0)),"")</f>
        <v/>
      </c>
      <c r="E348" s="2">
        <f>IF(AND(C348&lt;&gt;"Done",D348&lt;&gt;"Done"),"Yes","No")</f>
        <v/>
      </c>
    </row>
    <row r="349">
      <c r="A349" s="2" t="inlineStr">
        <is>
          <t>WEB-014</t>
        </is>
      </c>
      <c r="B349" s="2" t="inlineStr">
        <is>
          <t>REC-004</t>
        </is>
      </c>
      <c r="C349" s="2">
        <f>IFERROR(INDEX(Issues!$L$2:$L$245,MATCH(A349,Issues!$A$2:$A$245,0)),"")</f>
        <v/>
      </c>
      <c r="D349" s="2">
        <f>IFERROR(INDEX(Issues!$L$2:$L$245,MATCH(B349,Issues!$A$2:$A$245,0)),"")</f>
        <v/>
      </c>
      <c r="E349" s="2">
        <f>IF(AND(C349&lt;&gt;"Done",D349&lt;&gt;"Done"),"Yes","No")</f>
        <v/>
      </c>
    </row>
    <row r="350">
      <c r="A350" s="2" t="inlineStr">
        <is>
          <t>WEB-015</t>
        </is>
      </c>
      <c r="B350" s="2" t="inlineStr">
        <is>
          <t>WEB-001</t>
        </is>
      </c>
      <c r="C350" s="2">
        <f>IFERROR(INDEX(Issues!$L$2:$L$245,MATCH(A350,Issues!$A$2:$A$245,0)),"")</f>
        <v/>
      </c>
      <c r="D350" s="2">
        <f>IFERROR(INDEX(Issues!$L$2:$L$245,MATCH(B350,Issues!$A$2:$A$245,0)),"")</f>
        <v/>
      </c>
      <c r="E350" s="2">
        <f>IF(AND(C350&lt;&gt;"Done",D350&lt;&gt;"Done"),"Yes","No")</f>
        <v/>
      </c>
    </row>
    <row r="351">
      <c r="A351" s="2" t="inlineStr">
        <is>
          <t>WEB-015</t>
        </is>
      </c>
      <c r="B351" s="2" t="inlineStr">
        <is>
          <t>NTF-002</t>
        </is>
      </c>
      <c r="C351" s="2">
        <f>IFERROR(INDEX(Issues!$L$2:$L$245,MATCH(A351,Issues!$A$2:$A$245,0)),"")</f>
        <v/>
      </c>
      <c r="D351" s="2">
        <f>IFERROR(INDEX(Issues!$L$2:$L$245,MATCH(B351,Issues!$A$2:$A$245,0)),"")</f>
        <v/>
      </c>
      <c r="E351" s="2">
        <f>IF(AND(C351&lt;&gt;"Done",D351&lt;&gt;"Done"),"Yes","No")</f>
        <v/>
      </c>
    </row>
    <row r="352">
      <c r="A352" s="2" t="inlineStr">
        <is>
          <t>WEB-016</t>
        </is>
      </c>
      <c r="B352" s="2" t="inlineStr">
        <is>
          <t>WEB-010</t>
        </is>
      </c>
      <c r="C352" s="2">
        <f>IFERROR(INDEX(Issues!$L$2:$L$245,MATCH(A352,Issues!$A$2:$A$245,0)),"")</f>
        <v/>
      </c>
      <c r="D352" s="2">
        <f>IFERROR(INDEX(Issues!$L$2:$L$245,MATCH(B352,Issues!$A$2:$A$245,0)),"")</f>
        <v/>
      </c>
      <c r="E352" s="2">
        <f>IF(AND(C352&lt;&gt;"Done",D352&lt;&gt;"Done"),"Yes","No")</f>
        <v/>
      </c>
    </row>
    <row r="353">
      <c r="A353" s="2" t="inlineStr">
        <is>
          <t>WEB-016</t>
        </is>
      </c>
      <c r="B353" s="2" t="inlineStr">
        <is>
          <t>AGT-012</t>
        </is>
      </c>
      <c r="C353" s="2">
        <f>IFERROR(INDEX(Issues!$L$2:$L$245,MATCH(A353,Issues!$A$2:$A$245,0)),"")</f>
        <v/>
      </c>
      <c r="D353" s="2">
        <f>IFERROR(INDEX(Issues!$L$2:$L$245,MATCH(B353,Issues!$A$2:$A$245,0)),"")</f>
        <v/>
      </c>
      <c r="E353" s="2">
        <f>IF(AND(C353&lt;&gt;"Done",D353&lt;&gt;"Done"),"Yes","No")</f>
        <v/>
      </c>
    </row>
    <row r="354">
      <c r="A354" s="2" t="inlineStr">
        <is>
          <t>WEB-017</t>
        </is>
      </c>
      <c r="B354" s="2" t="inlineStr">
        <is>
          <t>WEB-002</t>
        </is>
      </c>
      <c r="C354" s="2">
        <f>IFERROR(INDEX(Issues!$L$2:$L$245,MATCH(A354,Issues!$A$2:$A$245,0)),"")</f>
        <v/>
      </c>
      <c r="D354" s="2">
        <f>IFERROR(INDEX(Issues!$L$2:$L$245,MATCH(B354,Issues!$A$2:$A$245,0)),"")</f>
        <v/>
      </c>
      <c r="E354" s="2">
        <f>IF(AND(C354&lt;&gt;"Done",D354&lt;&gt;"Done"),"Yes","No")</f>
        <v/>
      </c>
    </row>
    <row r="355">
      <c r="A355" s="2" t="inlineStr">
        <is>
          <t>WEB-017</t>
        </is>
      </c>
      <c r="B355" s="2" t="inlineStr">
        <is>
          <t>IDN-007</t>
        </is>
      </c>
      <c r="C355" s="2">
        <f>IFERROR(INDEX(Issues!$L$2:$L$245,MATCH(A355,Issues!$A$2:$A$245,0)),"")</f>
        <v/>
      </c>
      <c r="D355" s="2">
        <f>IFERROR(INDEX(Issues!$L$2:$L$245,MATCH(B355,Issues!$A$2:$A$245,0)),"")</f>
        <v/>
      </c>
      <c r="E355" s="2">
        <f>IF(AND(C355&lt;&gt;"Done",D355&lt;&gt;"Done"),"Yes","No")</f>
        <v/>
      </c>
    </row>
    <row r="356">
      <c r="A356" s="2" t="inlineStr">
        <is>
          <t>WEB-018</t>
        </is>
      </c>
      <c r="B356" s="2" t="inlineStr">
        <is>
          <t>WEB-010</t>
        </is>
      </c>
      <c r="C356" s="2">
        <f>IFERROR(INDEX(Issues!$L$2:$L$245,MATCH(A356,Issues!$A$2:$A$245,0)),"")</f>
        <v/>
      </c>
      <c r="D356" s="2">
        <f>IFERROR(INDEX(Issues!$L$2:$L$245,MATCH(B356,Issues!$A$2:$A$245,0)),"")</f>
        <v/>
      </c>
      <c r="E356" s="2">
        <f>IF(AND(C356&lt;&gt;"Done",D356&lt;&gt;"Done"),"Yes","No")</f>
        <v/>
      </c>
    </row>
    <row r="357">
      <c r="A357" s="2" t="inlineStr">
        <is>
          <t>WEB-018</t>
        </is>
      </c>
      <c r="B357" s="2" t="inlineStr">
        <is>
          <t>OBS-005</t>
        </is>
      </c>
      <c r="C357" s="2">
        <f>IFERROR(INDEX(Issues!$L$2:$L$245,MATCH(A357,Issues!$A$2:$A$245,0)),"")</f>
        <v/>
      </c>
      <c r="D357" s="2">
        <f>IFERROR(INDEX(Issues!$L$2:$L$245,MATCH(B357,Issues!$A$2:$A$245,0)),"")</f>
        <v/>
      </c>
      <c r="E357" s="2">
        <f>IF(AND(C357&lt;&gt;"Done",D357&lt;&gt;"Done"),"Yes","No")</f>
        <v/>
      </c>
    </row>
    <row r="358">
      <c r="A358" s="2" t="inlineStr">
        <is>
          <t>WEB-019</t>
        </is>
      </c>
      <c r="B358" s="2" t="inlineStr">
        <is>
          <t>WEB-010</t>
        </is>
      </c>
      <c r="C358" s="2">
        <f>IFERROR(INDEX(Issues!$L$2:$L$245,MATCH(A358,Issues!$A$2:$A$245,0)),"")</f>
        <v/>
      </c>
      <c r="D358" s="2">
        <f>IFERROR(INDEX(Issues!$L$2:$L$245,MATCH(B358,Issues!$A$2:$A$245,0)),"")</f>
        <v/>
      </c>
      <c r="E358" s="2">
        <f>IF(AND(C358&lt;&gt;"Done",D358&lt;&gt;"Done"),"Yes","No")</f>
        <v/>
      </c>
    </row>
    <row r="359">
      <c r="A359" s="2" t="inlineStr">
        <is>
          <t>WEB-019</t>
        </is>
      </c>
      <c r="B359" s="2" t="inlineStr">
        <is>
          <t>MDT-007</t>
        </is>
      </c>
      <c r="C359" s="2">
        <f>IFERROR(INDEX(Issues!$L$2:$L$245,MATCH(A359,Issues!$A$2:$A$245,0)),"")</f>
        <v/>
      </c>
      <c r="D359" s="2">
        <f>IFERROR(INDEX(Issues!$L$2:$L$245,MATCH(B359,Issues!$A$2:$A$245,0)),"")</f>
        <v/>
      </c>
      <c r="E359" s="2">
        <f>IF(AND(C359&lt;&gt;"Done",D359&lt;&gt;"Done"),"Yes","No")</f>
        <v/>
      </c>
    </row>
    <row r="360">
      <c r="A360" s="2" t="inlineStr">
        <is>
          <t>WEB-020</t>
        </is>
      </c>
      <c r="B360" s="2" t="inlineStr">
        <is>
          <t>WEB-007</t>
        </is>
      </c>
      <c r="C360" s="2">
        <f>IFERROR(INDEX(Issues!$L$2:$L$245,MATCH(A360,Issues!$A$2:$A$245,0)),"")</f>
        <v/>
      </c>
      <c r="D360" s="2">
        <f>IFERROR(INDEX(Issues!$L$2:$L$245,MATCH(B360,Issues!$A$2:$A$245,0)),"")</f>
        <v/>
      </c>
      <c r="E360" s="2">
        <f>IF(AND(C360&lt;&gt;"Done",D360&lt;&gt;"Done"),"Yes","No")</f>
        <v/>
      </c>
    </row>
    <row r="361">
      <c r="A361" s="2" t="inlineStr">
        <is>
          <t>WEB-020</t>
        </is>
      </c>
      <c r="B361" s="2" t="inlineStr">
        <is>
          <t>INV-005</t>
        </is>
      </c>
      <c r="C361" s="2">
        <f>IFERROR(INDEX(Issues!$L$2:$L$245,MATCH(A361,Issues!$A$2:$A$245,0)),"")</f>
        <v/>
      </c>
      <c r="D361" s="2">
        <f>IFERROR(INDEX(Issues!$L$2:$L$245,MATCH(B361,Issues!$A$2:$A$245,0)),"")</f>
        <v/>
      </c>
      <c r="E361" s="2">
        <f>IF(AND(C361&lt;&gt;"Done",D361&lt;&gt;"Done"),"Yes","No")</f>
        <v/>
      </c>
    </row>
    <row r="362">
      <c r="A362" s="2" t="inlineStr">
        <is>
          <t>WEB-021</t>
        </is>
      </c>
      <c r="B362" s="2" t="inlineStr">
        <is>
          <t>WEB-010</t>
        </is>
      </c>
      <c r="C362" s="2">
        <f>IFERROR(INDEX(Issues!$L$2:$L$245,MATCH(A362,Issues!$A$2:$A$245,0)),"")</f>
        <v/>
      </c>
      <c r="D362" s="2">
        <f>IFERROR(INDEX(Issues!$L$2:$L$245,MATCH(B362,Issues!$A$2:$A$245,0)),"")</f>
        <v/>
      </c>
      <c r="E362" s="2">
        <f>IF(AND(C362&lt;&gt;"Done",D362&lt;&gt;"Done"),"Yes","No")</f>
        <v/>
      </c>
    </row>
    <row r="363">
      <c r="A363" s="2" t="inlineStr">
        <is>
          <t>WEB-021</t>
        </is>
      </c>
      <c r="B363" s="2" t="inlineStr">
        <is>
          <t>ENG-011</t>
        </is>
      </c>
      <c r="C363" s="2">
        <f>IFERROR(INDEX(Issues!$L$2:$L$245,MATCH(A363,Issues!$A$2:$A$245,0)),"")</f>
        <v/>
      </c>
      <c r="D363" s="2">
        <f>IFERROR(INDEX(Issues!$L$2:$L$245,MATCH(B363,Issues!$A$2:$A$245,0)),"")</f>
        <v/>
      </c>
      <c r="E363" s="2">
        <f>IF(AND(C363&lt;&gt;"Done",D363&lt;&gt;"Done"),"Yes","No")</f>
        <v/>
      </c>
    </row>
    <row r="364">
      <c r="A364" s="2" t="inlineStr">
        <is>
          <t>WEB-022</t>
        </is>
      </c>
      <c r="B364" s="2" t="inlineStr">
        <is>
          <t>WEB-014</t>
        </is>
      </c>
      <c r="C364" s="2">
        <f>IFERROR(INDEX(Issues!$L$2:$L$245,MATCH(A364,Issues!$A$2:$A$245,0)),"")</f>
        <v/>
      </c>
      <c r="D364" s="2">
        <f>IFERROR(INDEX(Issues!$L$2:$L$245,MATCH(B364,Issues!$A$2:$A$245,0)),"")</f>
        <v/>
      </c>
      <c r="E364" s="2">
        <f>IF(AND(C364&lt;&gt;"Done",D364&lt;&gt;"Done"),"Yes","No")</f>
        <v/>
      </c>
    </row>
    <row r="365">
      <c r="A365" s="2" t="inlineStr">
        <is>
          <t>WEB-023</t>
        </is>
      </c>
      <c r="B365" s="2" t="inlineStr">
        <is>
          <t>WEB-012</t>
        </is>
      </c>
      <c r="C365" s="2">
        <f>IFERROR(INDEX(Issues!$L$2:$L$245,MATCH(A365,Issues!$A$2:$A$245,0)),"")</f>
        <v/>
      </c>
      <c r="D365" s="2">
        <f>IFERROR(INDEX(Issues!$L$2:$L$245,MATCH(B365,Issues!$A$2:$A$245,0)),"")</f>
        <v/>
      </c>
      <c r="E365" s="2">
        <f>IF(AND(C365&lt;&gt;"Done",D365&lt;&gt;"Done"),"Yes","No")</f>
        <v/>
      </c>
    </row>
    <row r="366">
      <c r="A366" s="2" t="inlineStr">
        <is>
          <t>WEB-024</t>
        </is>
      </c>
      <c r="B366" s="2" t="inlineStr">
        <is>
          <t>WEB-010</t>
        </is>
      </c>
      <c r="C366" s="2">
        <f>IFERROR(INDEX(Issues!$L$2:$L$245,MATCH(A366,Issues!$A$2:$A$245,0)),"")</f>
        <v/>
      </c>
      <c r="D366" s="2">
        <f>IFERROR(INDEX(Issues!$L$2:$L$245,MATCH(B366,Issues!$A$2:$A$245,0)),"")</f>
        <v/>
      </c>
      <c r="E366" s="2">
        <f>IF(AND(C366&lt;&gt;"Done",D366&lt;&gt;"Done"),"Yes","No")</f>
        <v/>
      </c>
    </row>
    <row r="367">
      <c r="A367" s="2" t="inlineStr">
        <is>
          <t>WEB-024</t>
        </is>
      </c>
      <c r="B367" s="2" t="inlineStr">
        <is>
          <t>EXE-012</t>
        </is>
      </c>
      <c r="C367" s="2">
        <f>IFERROR(INDEX(Issues!$L$2:$L$245,MATCH(A367,Issues!$A$2:$A$245,0)),"")</f>
        <v/>
      </c>
      <c r="D367" s="2">
        <f>IFERROR(INDEX(Issues!$L$2:$L$245,MATCH(B367,Issues!$A$2:$A$245,0)),"")</f>
        <v/>
      </c>
      <c r="E367" s="2">
        <f>IF(AND(C367&lt;&gt;"Done",D367&lt;&gt;"Done"),"Yes","No")</f>
        <v/>
      </c>
    </row>
    <row r="368">
      <c r="A368" s="2" t="inlineStr">
        <is>
          <t>WEB-025</t>
        </is>
      </c>
      <c r="B368" s="2" t="inlineStr">
        <is>
          <t>WEB-003</t>
        </is>
      </c>
      <c r="C368" s="2">
        <f>IFERROR(INDEX(Issues!$L$2:$L$245,MATCH(A368,Issues!$A$2:$A$245,0)),"")</f>
        <v/>
      </c>
      <c r="D368" s="2">
        <f>IFERROR(INDEX(Issues!$L$2:$L$245,MATCH(B368,Issues!$A$2:$A$245,0)),"")</f>
        <v/>
      </c>
      <c r="E368" s="2">
        <f>IF(AND(C368&lt;&gt;"Done",D368&lt;&gt;"Done"),"Yes","No")</f>
        <v/>
      </c>
    </row>
    <row r="369">
      <c r="A369" s="2" t="inlineStr">
        <is>
          <t>WEB-025</t>
        </is>
      </c>
      <c r="B369" s="2" t="inlineStr">
        <is>
          <t>MDT-009</t>
        </is>
      </c>
      <c r="C369" s="2">
        <f>IFERROR(INDEX(Issues!$L$2:$L$245,MATCH(A369,Issues!$A$2:$A$245,0)),"")</f>
        <v/>
      </c>
      <c r="D369" s="2">
        <f>IFERROR(INDEX(Issues!$L$2:$L$245,MATCH(B369,Issues!$A$2:$A$245,0)),"")</f>
        <v/>
      </c>
      <c r="E369" s="2">
        <f>IF(AND(C369&lt;&gt;"Done",D369&lt;&gt;"Done"),"Yes","No")</f>
        <v/>
      </c>
    </row>
    <row r="370">
      <c r="A370" s="2" t="inlineStr">
        <is>
          <t>WEB-026</t>
        </is>
      </c>
      <c r="B370" s="2" t="inlineStr">
        <is>
          <t>WEB-010</t>
        </is>
      </c>
      <c r="C370" s="2">
        <f>IFERROR(INDEX(Issues!$L$2:$L$245,MATCH(A370,Issues!$A$2:$A$245,0)),"")</f>
        <v/>
      </c>
      <c r="D370" s="2">
        <f>IFERROR(INDEX(Issues!$L$2:$L$245,MATCH(B370,Issues!$A$2:$A$245,0)),"")</f>
        <v/>
      </c>
      <c r="E370" s="2">
        <f>IF(AND(C370&lt;&gt;"Done",D370&lt;&gt;"Done"),"Yes","No")</f>
        <v/>
      </c>
    </row>
    <row r="371">
      <c r="A371" s="2" t="inlineStr">
        <is>
          <t>WEB-027</t>
        </is>
      </c>
      <c r="B371" s="2" t="inlineStr">
        <is>
          <t>WEB-026</t>
        </is>
      </c>
      <c r="C371" s="2">
        <f>IFERROR(INDEX(Issues!$L$2:$L$245,MATCH(A371,Issues!$A$2:$A$245,0)),"")</f>
        <v/>
      </c>
      <c r="D371" s="2">
        <f>IFERROR(INDEX(Issues!$L$2:$L$245,MATCH(B371,Issues!$A$2:$A$245,0)),"")</f>
        <v/>
      </c>
      <c r="E371" s="2">
        <f>IF(AND(C371&lt;&gt;"Done",D371&lt;&gt;"Done"),"Yes","No")</f>
        <v/>
      </c>
    </row>
    <row r="372">
      <c r="A372" s="2" t="inlineStr">
        <is>
          <t>WEB-027</t>
        </is>
      </c>
      <c r="B372" s="2" t="inlineStr">
        <is>
          <t>ENG-014</t>
        </is>
      </c>
      <c r="C372" s="2">
        <f>IFERROR(INDEX(Issues!$L$2:$L$245,MATCH(A372,Issues!$A$2:$A$245,0)),"")</f>
        <v/>
      </c>
      <c r="D372" s="2">
        <f>IFERROR(INDEX(Issues!$L$2:$L$245,MATCH(B372,Issues!$A$2:$A$245,0)),"")</f>
        <v/>
      </c>
      <c r="E372" s="2">
        <f>IF(AND(C372&lt;&gt;"Done",D372&lt;&gt;"Done"),"Yes","No")</f>
        <v/>
      </c>
    </row>
  </sheetData>
  <autoFilter ref="A1:E3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This workbook is a REPORT. GitHub (Project 'TreasuryPilot · Delivery') is the source of truth.</t>
        </is>
      </c>
    </row>
    <row r="2">
      <c r="A2" s="2" t="inlineStr">
        <is>
          <t>To refresh: uv run --with openpyxl python planning/tracker/build_tracker.py</t>
        </is>
      </c>
    </row>
    <row r="3">
      <c r="A3" s="2" t="inlineStr">
        <is>
          <t>Do not edit statuses here; change them in the GitHub Project, then rebuild.</t>
        </is>
      </c>
    </row>
    <row r="4">
      <c r="A4" s="2" t="inlineStr">
        <is>
          <t>Status (column L, Issues) has a dropdown only for quick what-if analysis; changes are not synced back.</t>
        </is>
      </c>
    </row>
    <row r="5">
      <c r="A5" s="2" t="inlineStr">
        <is>
          <t>Est. days: S = 0.5, M = 1, L = 2 (planning estimates; not re-estimated by developers).</t>
        </is>
      </c>
    </row>
    <row r="6">
      <c r="A6" s="2" t="inlineStr">
        <is>
          <t>Open blockers = number of tickets listed in 'Blocked by' whose status is not Done.</t>
        </is>
      </c>
    </row>
    <row r="7">
      <c r="A7" s="2" t="inlineStr">
        <is>
          <t>Cut: A = required for the submission demo, B = stretch, After submission / Later = planned after 20/10.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2026-10-11T12:03:26Z</dcterms:created>
  <dcterms:modified xsi:type="dcterms:W3CDTF">2026-10-11T12:03:26Z</dcterms:modified>
</cp:coreProperties>
</file>